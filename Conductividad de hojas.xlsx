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me\Desktop\"/>
    </mc:Choice>
  </mc:AlternateContent>
  <xr:revisionPtr revIDLastSave="0" documentId="13_ncr:1_{9F9A8DE5-CADA-428D-AF86-51E6B07F0B2F}" xr6:coauthVersionLast="47" xr6:coauthVersionMax="47" xr10:uidLastSave="{00000000-0000-0000-0000-000000000000}"/>
  <bookViews>
    <workbookView xWindow="-108" yWindow="-108" windowWidth="23256" windowHeight="12456" activeTab="10" xr2:uid="{56CDB0CA-44E2-488A-98E2-43CEAF64DB3A}"/>
  </bookViews>
  <sheets>
    <sheet name="Hoja1" sheetId="1" r:id="rId1"/>
    <sheet name="Hoja2" sheetId="2" r:id="rId2"/>
    <sheet name="Hoja4" sheetId="5" r:id="rId3"/>
    <sheet name="Hoja3" sheetId="6" r:id="rId4"/>
    <sheet name="Peso-seco" sheetId="4" r:id="rId5"/>
    <sheet name="Hoja6" sheetId="8" r:id="rId6"/>
    <sheet name="Hoja5" sheetId="7" r:id="rId7"/>
    <sheet name="Hoja7" sheetId="9" r:id="rId8"/>
    <sheet name="Hoja8" sheetId="10" r:id="rId9"/>
    <sheet name="Hoja9" sheetId="12" r:id="rId10"/>
    <sheet name="base" sheetId="11" r:id="rId11"/>
  </sheets>
  <definedNames>
    <definedName name="_xlnm._FilterDatabase" localSheetId="0" hidden="1">Hoja1!$A$1:$G$323</definedName>
    <definedName name="_xlnm._FilterDatabase" localSheetId="1" hidden="1">Hoja2!$A$1:$F$93</definedName>
    <definedName name="_xlnm._FilterDatabase" localSheetId="3" hidden="1">Hoja3!$A$1:$A$121</definedName>
    <definedName name="_xlnm._FilterDatabase" localSheetId="2" hidden="1">Hoja4!$A$1:$E$99</definedName>
    <definedName name="_xlnm._FilterDatabase" localSheetId="6" hidden="1">Hoja5!$A$1:$E$122</definedName>
    <definedName name="_xlnm._FilterDatabase" localSheetId="5" hidden="1">Hoja6!$A$1:$A$151</definedName>
    <definedName name="_xlnm._FilterDatabase" localSheetId="7" hidden="1">Hoja7!$A$1:$A$168</definedName>
    <definedName name="_xlnm._FilterDatabase" localSheetId="8" hidden="1">Hoja8!$A$1:$A$138</definedName>
    <definedName name="_xlnm._FilterDatabase" localSheetId="9" hidden="1">Hoja9!$A$1:$Q$146</definedName>
    <definedName name="_xlnm._FilterDatabase" localSheetId="4" hidden="1">'Peso-seco'!$A$1:$G$46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2" l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20" i="12"/>
  <c r="B21" i="12"/>
  <c r="B30" i="12" s="1"/>
  <c r="B39" i="12" s="1"/>
  <c r="B48" i="12" s="1"/>
  <c r="B57" i="12" s="1"/>
  <c r="B66" i="12" s="1"/>
  <c r="B75" i="12" s="1"/>
  <c r="B84" i="12" s="1"/>
  <c r="B93" i="12" s="1"/>
  <c r="B102" i="12" s="1"/>
  <c r="B111" i="12" s="1"/>
  <c r="B120" i="12" s="1"/>
  <c r="B129" i="12" s="1"/>
  <c r="B138" i="12" s="1"/>
  <c r="B22" i="12"/>
  <c r="B31" i="12" s="1"/>
  <c r="B40" i="12" s="1"/>
  <c r="B49" i="12" s="1"/>
  <c r="B58" i="12" s="1"/>
  <c r="B67" i="12" s="1"/>
  <c r="B76" i="12" s="1"/>
  <c r="B85" i="12" s="1"/>
  <c r="B94" i="12" s="1"/>
  <c r="B103" i="12" s="1"/>
  <c r="B112" i="12" s="1"/>
  <c r="B121" i="12" s="1"/>
  <c r="B130" i="12" s="1"/>
  <c r="B139" i="12" s="1"/>
  <c r="B23" i="12"/>
  <c r="B32" i="12" s="1"/>
  <c r="B41" i="12" s="1"/>
  <c r="B50" i="12" s="1"/>
  <c r="B59" i="12" s="1"/>
  <c r="B68" i="12" s="1"/>
  <c r="B77" i="12" s="1"/>
  <c r="B86" i="12" s="1"/>
  <c r="B95" i="12" s="1"/>
  <c r="B104" i="12" s="1"/>
  <c r="B113" i="12" s="1"/>
  <c r="B122" i="12" s="1"/>
  <c r="B131" i="12" s="1"/>
  <c r="B140" i="12" s="1"/>
  <c r="B24" i="12"/>
  <c r="B33" i="12" s="1"/>
  <c r="B42" i="12" s="1"/>
  <c r="B51" i="12" s="1"/>
  <c r="B60" i="12" s="1"/>
  <c r="B69" i="12" s="1"/>
  <c r="B78" i="12" s="1"/>
  <c r="B87" i="12" s="1"/>
  <c r="B96" i="12" s="1"/>
  <c r="B105" i="12" s="1"/>
  <c r="B114" i="12" s="1"/>
  <c r="B123" i="12" s="1"/>
  <c r="B132" i="12" s="1"/>
  <c r="B141" i="12" s="1"/>
  <c r="B25" i="12"/>
  <c r="B34" i="12" s="1"/>
  <c r="B43" i="12" s="1"/>
  <c r="B52" i="12" s="1"/>
  <c r="B61" i="12" s="1"/>
  <c r="B70" i="12" s="1"/>
  <c r="B79" i="12" s="1"/>
  <c r="B88" i="12" s="1"/>
  <c r="B97" i="12" s="1"/>
  <c r="B106" i="12" s="1"/>
  <c r="B115" i="12" s="1"/>
  <c r="B124" i="12" s="1"/>
  <c r="B133" i="12" s="1"/>
  <c r="B142" i="12" s="1"/>
  <c r="B26" i="12"/>
  <c r="B35" i="12" s="1"/>
  <c r="B44" i="12" s="1"/>
  <c r="B53" i="12" s="1"/>
  <c r="B62" i="12" s="1"/>
  <c r="B71" i="12" s="1"/>
  <c r="B80" i="12" s="1"/>
  <c r="B89" i="12" s="1"/>
  <c r="B98" i="12" s="1"/>
  <c r="B107" i="12" s="1"/>
  <c r="B116" i="12" s="1"/>
  <c r="B125" i="12" s="1"/>
  <c r="B134" i="12" s="1"/>
  <c r="B143" i="12" s="1"/>
  <c r="B27" i="12"/>
  <c r="B36" i="12" s="1"/>
  <c r="B45" i="12" s="1"/>
  <c r="B54" i="12" s="1"/>
  <c r="B63" i="12" s="1"/>
  <c r="B72" i="12" s="1"/>
  <c r="B81" i="12" s="1"/>
  <c r="B90" i="12" s="1"/>
  <c r="B99" i="12" s="1"/>
  <c r="B108" i="12" s="1"/>
  <c r="B117" i="12" s="1"/>
  <c r="B126" i="12" s="1"/>
  <c r="B135" i="12" s="1"/>
  <c r="B144" i="12" s="1"/>
  <c r="B28" i="12"/>
  <c r="B37" i="12" s="1"/>
  <c r="B46" i="12" s="1"/>
  <c r="B55" i="12" s="1"/>
  <c r="B64" i="12" s="1"/>
  <c r="B73" i="12" s="1"/>
  <c r="B82" i="12" s="1"/>
  <c r="B91" i="12" s="1"/>
  <c r="B100" i="12" s="1"/>
  <c r="B109" i="12" s="1"/>
  <c r="B118" i="12" s="1"/>
  <c r="B127" i="12" s="1"/>
  <c r="B136" i="12" s="1"/>
  <c r="B145" i="12" s="1"/>
  <c r="B20" i="12"/>
  <c r="B29" i="12" s="1"/>
  <c r="B38" i="12" s="1"/>
  <c r="B47" i="12" s="1"/>
  <c r="B56" i="12" s="1"/>
  <c r="B65" i="12" s="1"/>
  <c r="B74" i="12" s="1"/>
  <c r="B83" i="12" s="1"/>
  <c r="B92" i="12" s="1"/>
  <c r="B101" i="12" s="1"/>
  <c r="B110" i="12" s="1"/>
  <c r="B119" i="12" s="1"/>
  <c r="B128" i="12" s="1"/>
  <c r="B137" i="12" s="1"/>
  <c r="B146" i="12" s="1"/>
  <c r="E19" i="12"/>
  <c r="E28" i="12" s="1"/>
  <c r="E37" i="12" s="1"/>
  <c r="E46" i="12" s="1"/>
  <c r="E55" i="12" s="1"/>
  <c r="E64" i="12" s="1"/>
  <c r="E73" i="12" s="1"/>
  <c r="E82" i="12" s="1"/>
  <c r="E91" i="12" s="1"/>
  <c r="E100" i="12" s="1"/>
  <c r="E109" i="12" s="1"/>
  <c r="E118" i="12" s="1"/>
  <c r="E127" i="12" s="1"/>
  <c r="E136" i="12" s="1"/>
  <c r="E145" i="12" s="1"/>
  <c r="E12" i="12"/>
  <c r="E21" i="12" s="1"/>
  <c r="E30" i="12" s="1"/>
  <c r="E39" i="12" s="1"/>
  <c r="E48" i="12" s="1"/>
  <c r="E57" i="12" s="1"/>
  <c r="E66" i="12" s="1"/>
  <c r="E75" i="12" s="1"/>
  <c r="E84" i="12" s="1"/>
  <c r="E93" i="12" s="1"/>
  <c r="E102" i="12" s="1"/>
  <c r="E111" i="12" s="1"/>
  <c r="E120" i="12" s="1"/>
  <c r="E129" i="12" s="1"/>
  <c r="E138" i="12" s="1"/>
  <c r="E13" i="12"/>
  <c r="E22" i="12" s="1"/>
  <c r="E31" i="12" s="1"/>
  <c r="E40" i="12" s="1"/>
  <c r="E49" i="12" s="1"/>
  <c r="E58" i="12" s="1"/>
  <c r="E67" i="12" s="1"/>
  <c r="E76" i="12" s="1"/>
  <c r="E85" i="12" s="1"/>
  <c r="E94" i="12" s="1"/>
  <c r="E103" i="12" s="1"/>
  <c r="E112" i="12" s="1"/>
  <c r="E121" i="12" s="1"/>
  <c r="E130" i="12" s="1"/>
  <c r="E139" i="12" s="1"/>
  <c r="E14" i="12"/>
  <c r="E23" i="12" s="1"/>
  <c r="E32" i="12" s="1"/>
  <c r="E41" i="12" s="1"/>
  <c r="E50" i="12" s="1"/>
  <c r="E59" i="12" s="1"/>
  <c r="E68" i="12" s="1"/>
  <c r="E77" i="12" s="1"/>
  <c r="E86" i="12" s="1"/>
  <c r="E95" i="12" s="1"/>
  <c r="E104" i="12" s="1"/>
  <c r="E113" i="12" s="1"/>
  <c r="E122" i="12" s="1"/>
  <c r="E131" i="12" s="1"/>
  <c r="E140" i="12" s="1"/>
  <c r="E15" i="12"/>
  <c r="E24" i="12" s="1"/>
  <c r="E33" i="12" s="1"/>
  <c r="E42" i="12" s="1"/>
  <c r="E51" i="12" s="1"/>
  <c r="E60" i="12" s="1"/>
  <c r="E69" i="12" s="1"/>
  <c r="E78" i="12" s="1"/>
  <c r="E87" i="12" s="1"/>
  <c r="E96" i="12" s="1"/>
  <c r="E105" i="12" s="1"/>
  <c r="E114" i="12" s="1"/>
  <c r="E123" i="12" s="1"/>
  <c r="E132" i="12" s="1"/>
  <c r="E141" i="12" s="1"/>
  <c r="E16" i="12"/>
  <c r="E25" i="12" s="1"/>
  <c r="E34" i="12" s="1"/>
  <c r="E43" i="12" s="1"/>
  <c r="E52" i="12" s="1"/>
  <c r="E61" i="12" s="1"/>
  <c r="E70" i="12" s="1"/>
  <c r="E79" i="12" s="1"/>
  <c r="E88" i="12" s="1"/>
  <c r="E97" i="12" s="1"/>
  <c r="E106" i="12" s="1"/>
  <c r="E115" i="12" s="1"/>
  <c r="E124" i="12" s="1"/>
  <c r="E133" i="12" s="1"/>
  <c r="E142" i="12" s="1"/>
  <c r="E17" i="12"/>
  <c r="E26" i="12" s="1"/>
  <c r="E35" i="12" s="1"/>
  <c r="E44" i="12" s="1"/>
  <c r="E53" i="12" s="1"/>
  <c r="E62" i="12" s="1"/>
  <c r="E71" i="12" s="1"/>
  <c r="E80" i="12" s="1"/>
  <c r="E89" i="12" s="1"/>
  <c r="E98" i="12" s="1"/>
  <c r="E107" i="12" s="1"/>
  <c r="E116" i="12" s="1"/>
  <c r="E125" i="12" s="1"/>
  <c r="E134" i="12" s="1"/>
  <c r="E143" i="12" s="1"/>
  <c r="E18" i="12"/>
  <c r="E27" i="12" s="1"/>
  <c r="E36" i="12" s="1"/>
  <c r="E45" i="12" s="1"/>
  <c r="E54" i="12" s="1"/>
  <c r="E63" i="12" s="1"/>
  <c r="E72" i="12" s="1"/>
  <c r="E81" i="12" s="1"/>
  <c r="E90" i="12" s="1"/>
  <c r="E99" i="12" s="1"/>
  <c r="E108" i="12" s="1"/>
  <c r="E117" i="12" s="1"/>
  <c r="E126" i="12" s="1"/>
  <c r="E135" i="12" s="1"/>
  <c r="E144" i="12" s="1"/>
  <c r="E11" i="12"/>
  <c r="E20" i="12" s="1"/>
  <c r="E29" i="12" s="1"/>
  <c r="E38" i="12" s="1"/>
  <c r="E47" i="12" s="1"/>
  <c r="E56" i="12" s="1"/>
  <c r="E65" i="12" s="1"/>
  <c r="E74" i="12" s="1"/>
  <c r="E83" i="12" s="1"/>
  <c r="E92" i="12" s="1"/>
  <c r="E101" i="12" s="1"/>
  <c r="E110" i="12" s="1"/>
  <c r="E119" i="12" s="1"/>
  <c r="E128" i="12" s="1"/>
  <c r="E137" i="12" s="1"/>
  <c r="E146" i="12" s="1"/>
  <c r="C109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20" i="10"/>
  <c r="B21" i="10"/>
  <c r="B30" i="10" s="1"/>
  <c r="B39" i="10" s="1"/>
  <c r="B48" i="10" s="1"/>
  <c r="B57" i="10" s="1"/>
  <c r="B66" i="10" s="1"/>
  <c r="B75" i="10" s="1"/>
  <c r="B84" i="10" s="1"/>
  <c r="B93" i="10" s="1"/>
  <c r="B102" i="10" s="1"/>
  <c r="B111" i="10" s="1"/>
  <c r="B120" i="10" s="1"/>
  <c r="B129" i="10" s="1"/>
  <c r="B22" i="10"/>
  <c r="B23" i="10"/>
  <c r="B32" i="10" s="1"/>
  <c r="B41" i="10" s="1"/>
  <c r="B50" i="10" s="1"/>
  <c r="B59" i="10" s="1"/>
  <c r="B68" i="10" s="1"/>
  <c r="B77" i="10" s="1"/>
  <c r="B86" i="10" s="1"/>
  <c r="B95" i="10" s="1"/>
  <c r="B104" i="10" s="1"/>
  <c r="B113" i="10" s="1"/>
  <c r="B122" i="10" s="1"/>
  <c r="B131" i="10" s="1"/>
  <c r="B24" i="10"/>
  <c r="B33" i="10" s="1"/>
  <c r="B42" i="10" s="1"/>
  <c r="B51" i="10" s="1"/>
  <c r="B60" i="10" s="1"/>
  <c r="B69" i="10" s="1"/>
  <c r="B78" i="10" s="1"/>
  <c r="B87" i="10" s="1"/>
  <c r="B96" i="10" s="1"/>
  <c r="B105" i="10" s="1"/>
  <c r="B114" i="10" s="1"/>
  <c r="B123" i="10" s="1"/>
  <c r="B132" i="10" s="1"/>
  <c r="B25" i="10"/>
  <c r="B34" i="10" s="1"/>
  <c r="B43" i="10" s="1"/>
  <c r="B52" i="10" s="1"/>
  <c r="B61" i="10" s="1"/>
  <c r="B70" i="10" s="1"/>
  <c r="B79" i="10" s="1"/>
  <c r="B88" i="10" s="1"/>
  <c r="B97" i="10" s="1"/>
  <c r="B106" i="10" s="1"/>
  <c r="B115" i="10" s="1"/>
  <c r="B124" i="10" s="1"/>
  <c r="B133" i="10" s="1"/>
  <c r="B26" i="10"/>
  <c r="B35" i="10" s="1"/>
  <c r="B44" i="10" s="1"/>
  <c r="B53" i="10" s="1"/>
  <c r="B62" i="10" s="1"/>
  <c r="B71" i="10" s="1"/>
  <c r="B80" i="10" s="1"/>
  <c r="B89" i="10" s="1"/>
  <c r="B98" i="10" s="1"/>
  <c r="B107" i="10" s="1"/>
  <c r="B116" i="10" s="1"/>
  <c r="B125" i="10" s="1"/>
  <c r="B134" i="10" s="1"/>
  <c r="B27" i="10"/>
  <c r="B36" i="10" s="1"/>
  <c r="B45" i="10" s="1"/>
  <c r="B54" i="10" s="1"/>
  <c r="B63" i="10" s="1"/>
  <c r="B72" i="10" s="1"/>
  <c r="B81" i="10" s="1"/>
  <c r="B90" i="10" s="1"/>
  <c r="B99" i="10" s="1"/>
  <c r="B108" i="10" s="1"/>
  <c r="B117" i="10" s="1"/>
  <c r="B126" i="10" s="1"/>
  <c r="B135" i="10" s="1"/>
  <c r="B28" i="10"/>
  <c r="B37" i="10" s="1"/>
  <c r="B46" i="10" s="1"/>
  <c r="B55" i="10" s="1"/>
  <c r="B64" i="10" s="1"/>
  <c r="B73" i="10" s="1"/>
  <c r="B82" i="10" s="1"/>
  <c r="B91" i="10" s="1"/>
  <c r="B100" i="10" s="1"/>
  <c r="B31" i="10"/>
  <c r="B40" i="10" s="1"/>
  <c r="B49" i="10" s="1"/>
  <c r="B58" i="10" s="1"/>
  <c r="B67" i="10" s="1"/>
  <c r="B76" i="10" s="1"/>
  <c r="B85" i="10" s="1"/>
  <c r="B94" i="10" s="1"/>
  <c r="B103" i="10" s="1"/>
  <c r="B112" i="10" s="1"/>
  <c r="B121" i="10" s="1"/>
  <c r="B130" i="10" s="1"/>
  <c r="B20" i="10"/>
  <c r="B29" i="10" s="1"/>
  <c r="B38" i="10" s="1"/>
  <c r="B47" i="10" s="1"/>
  <c r="B56" i="10" s="1"/>
  <c r="B65" i="10" s="1"/>
  <c r="B74" i="10" s="1"/>
  <c r="B83" i="10" s="1"/>
  <c r="B92" i="10" s="1"/>
  <c r="B101" i="10" s="1"/>
  <c r="B110" i="10" s="1"/>
  <c r="B119" i="10" s="1"/>
  <c r="B128" i="10" s="1"/>
  <c r="E20" i="10"/>
  <c r="E29" i="10" s="1"/>
  <c r="E38" i="10" s="1"/>
  <c r="E47" i="10" s="1"/>
  <c r="E56" i="10" s="1"/>
  <c r="E65" i="10" s="1"/>
  <c r="E74" i="10" s="1"/>
  <c r="E83" i="10" s="1"/>
  <c r="E92" i="10" s="1"/>
  <c r="E101" i="10" s="1"/>
  <c r="E110" i="10" s="1"/>
  <c r="E119" i="10" s="1"/>
  <c r="E128" i="10" s="1"/>
  <c r="E13" i="10"/>
  <c r="E22" i="10" s="1"/>
  <c r="E31" i="10" s="1"/>
  <c r="E40" i="10" s="1"/>
  <c r="E49" i="10" s="1"/>
  <c r="E58" i="10" s="1"/>
  <c r="E67" i="10" s="1"/>
  <c r="E76" i="10" s="1"/>
  <c r="E85" i="10" s="1"/>
  <c r="E94" i="10" s="1"/>
  <c r="E103" i="10" s="1"/>
  <c r="E112" i="10" s="1"/>
  <c r="E121" i="10" s="1"/>
  <c r="E130" i="10" s="1"/>
  <c r="E14" i="10"/>
  <c r="E23" i="10" s="1"/>
  <c r="E32" i="10" s="1"/>
  <c r="E41" i="10" s="1"/>
  <c r="E50" i="10" s="1"/>
  <c r="E59" i="10" s="1"/>
  <c r="E68" i="10" s="1"/>
  <c r="E77" i="10" s="1"/>
  <c r="E86" i="10" s="1"/>
  <c r="E95" i="10" s="1"/>
  <c r="E104" i="10" s="1"/>
  <c r="E113" i="10" s="1"/>
  <c r="E122" i="10" s="1"/>
  <c r="E131" i="10" s="1"/>
  <c r="E15" i="10"/>
  <c r="E24" i="10" s="1"/>
  <c r="E33" i="10" s="1"/>
  <c r="E42" i="10" s="1"/>
  <c r="E51" i="10" s="1"/>
  <c r="E60" i="10" s="1"/>
  <c r="E69" i="10" s="1"/>
  <c r="E78" i="10" s="1"/>
  <c r="E87" i="10" s="1"/>
  <c r="E96" i="10" s="1"/>
  <c r="E105" i="10" s="1"/>
  <c r="E114" i="10" s="1"/>
  <c r="E123" i="10" s="1"/>
  <c r="E132" i="10" s="1"/>
  <c r="E16" i="10"/>
  <c r="E25" i="10" s="1"/>
  <c r="E34" i="10" s="1"/>
  <c r="E43" i="10" s="1"/>
  <c r="E52" i="10" s="1"/>
  <c r="E61" i="10" s="1"/>
  <c r="E70" i="10" s="1"/>
  <c r="E79" i="10" s="1"/>
  <c r="E88" i="10" s="1"/>
  <c r="E97" i="10" s="1"/>
  <c r="E106" i="10" s="1"/>
  <c r="E115" i="10" s="1"/>
  <c r="E124" i="10" s="1"/>
  <c r="E133" i="10" s="1"/>
  <c r="E17" i="10"/>
  <c r="E26" i="10" s="1"/>
  <c r="E35" i="10" s="1"/>
  <c r="E44" i="10" s="1"/>
  <c r="E53" i="10" s="1"/>
  <c r="E62" i="10" s="1"/>
  <c r="E71" i="10" s="1"/>
  <c r="E80" i="10" s="1"/>
  <c r="E89" i="10" s="1"/>
  <c r="E98" i="10" s="1"/>
  <c r="E107" i="10" s="1"/>
  <c r="E116" i="10" s="1"/>
  <c r="E125" i="10" s="1"/>
  <c r="E134" i="10" s="1"/>
  <c r="E18" i="10"/>
  <c r="E27" i="10" s="1"/>
  <c r="E36" i="10" s="1"/>
  <c r="E45" i="10" s="1"/>
  <c r="E54" i="10" s="1"/>
  <c r="E63" i="10" s="1"/>
  <c r="E72" i="10" s="1"/>
  <c r="E81" i="10" s="1"/>
  <c r="E90" i="10" s="1"/>
  <c r="E99" i="10" s="1"/>
  <c r="E108" i="10" s="1"/>
  <c r="E117" i="10" s="1"/>
  <c r="E126" i="10" s="1"/>
  <c r="E135" i="10" s="1"/>
  <c r="E19" i="10"/>
  <c r="E28" i="10" s="1"/>
  <c r="E37" i="10" s="1"/>
  <c r="E46" i="10" s="1"/>
  <c r="E55" i="10" s="1"/>
  <c r="E64" i="10" s="1"/>
  <c r="E73" i="10" s="1"/>
  <c r="E82" i="10" s="1"/>
  <c r="E91" i="10" s="1"/>
  <c r="E100" i="10" s="1"/>
  <c r="E109" i="10" s="1"/>
  <c r="E118" i="10" s="1"/>
  <c r="E127" i="10" s="1"/>
  <c r="E136" i="10" s="1"/>
  <c r="E12" i="10"/>
  <c r="E21" i="10" s="1"/>
  <c r="E30" i="10" s="1"/>
  <c r="E39" i="10" s="1"/>
  <c r="E48" i="10" s="1"/>
  <c r="E57" i="10" s="1"/>
  <c r="E66" i="10" s="1"/>
  <c r="E75" i="10" s="1"/>
  <c r="E84" i="10" s="1"/>
  <c r="E93" i="10" s="1"/>
  <c r="E102" i="10" s="1"/>
  <c r="E111" i="10" s="1"/>
  <c r="E120" i="10" s="1"/>
  <c r="E129" i="10" s="1"/>
  <c r="B57" i="9"/>
  <c r="B58" i="9"/>
  <c r="B59" i="9"/>
  <c r="B60" i="9"/>
  <c r="B61" i="9"/>
  <c r="B62" i="9"/>
  <c r="B63" i="9"/>
  <c r="B64" i="9"/>
  <c r="B65" i="9"/>
  <c r="B66" i="9"/>
  <c r="B68" i="9"/>
  <c r="B69" i="9"/>
  <c r="B70" i="9"/>
  <c r="B71" i="9"/>
  <c r="B72" i="9"/>
  <c r="B73" i="9"/>
  <c r="B75" i="9"/>
  <c r="B77" i="9"/>
  <c r="B78" i="9"/>
  <c r="B79" i="9"/>
  <c r="B80" i="9"/>
  <c r="B81" i="9"/>
  <c r="B84" i="9"/>
  <c r="B86" i="9"/>
  <c r="B87" i="9"/>
  <c r="B88" i="9"/>
  <c r="B89" i="9"/>
  <c r="B90" i="9"/>
  <c r="B93" i="9"/>
  <c r="B95" i="9"/>
  <c r="B96" i="9"/>
  <c r="B97" i="9"/>
  <c r="B98" i="9"/>
  <c r="B99" i="9"/>
  <c r="B102" i="9"/>
  <c r="B104" i="9"/>
  <c r="B105" i="9"/>
  <c r="B106" i="9"/>
  <c r="B108" i="9"/>
  <c r="B111" i="9"/>
  <c r="B113" i="9"/>
  <c r="B114" i="9"/>
  <c r="B115" i="9"/>
  <c r="B117" i="9"/>
  <c r="B56" i="9"/>
  <c r="C118" i="9"/>
  <c r="C19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65" i="9"/>
  <c r="C66" i="9"/>
  <c r="C67" i="9"/>
  <c r="C68" i="9"/>
  <c r="C69" i="9"/>
  <c r="C70" i="9"/>
  <c r="C71" i="9"/>
  <c r="C72" i="9"/>
  <c r="C73" i="9"/>
  <c r="C56" i="9"/>
  <c r="C57" i="9"/>
  <c r="C58" i="9"/>
  <c r="C59" i="9"/>
  <c r="C60" i="9"/>
  <c r="C61" i="9"/>
  <c r="C62" i="9"/>
  <c r="C63" i="9"/>
  <c r="C64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20" i="9"/>
  <c r="C12" i="9"/>
  <c r="C13" i="9"/>
  <c r="C14" i="9"/>
  <c r="C15" i="9"/>
  <c r="C16" i="9"/>
  <c r="C17" i="9"/>
  <c r="C18" i="9"/>
  <c r="C11" i="9"/>
  <c r="E12" i="9"/>
  <c r="E13" i="9"/>
  <c r="E14" i="9"/>
  <c r="E15" i="9"/>
  <c r="E16" i="9"/>
  <c r="E17" i="9"/>
  <c r="E18" i="9"/>
  <c r="E19" i="9"/>
  <c r="E11" i="9"/>
  <c r="C149" i="8"/>
  <c r="C150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5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99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100" i="8"/>
  <c r="C101" i="8"/>
  <c r="C22" i="8"/>
  <c r="C19" i="8"/>
  <c r="C20" i="8"/>
  <c r="C21" i="8"/>
  <c r="E13" i="8"/>
  <c r="E23" i="8" s="1"/>
  <c r="E33" i="8" s="1"/>
  <c r="E43" i="8" s="1"/>
  <c r="E53" i="8" s="1"/>
  <c r="E63" i="8" s="1"/>
  <c r="E73" i="8" s="1"/>
  <c r="E83" i="8" s="1"/>
  <c r="E93" i="8" s="1"/>
  <c r="E103" i="8" s="1"/>
  <c r="E113" i="8" s="1"/>
  <c r="E123" i="8" s="1"/>
  <c r="E133" i="8" s="1"/>
  <c r="E143" i="8" s="1"/>
  <c r="E14" i="8"/>
  <c r="E24" i="8" s="1"/>
  <c r="E34" i="8" s="1"/>
  <c r="E44" i="8" s="1"/>
  <c r="E54" i="8" s="1"/>
  <c r="E64" i="8" s="1"/>
  <c r="E74" i="8" s="1"/>
  <c r="E84" i="8" s="1"/>
  <c r="E94" i="8" s="1"/>
  <c r="E104" i="8" s="1"/>
  <c r="E114" i="8" s="1"/>
  <c r="E124" i="8" s="1"/>
  <c r="E134" i="8" s="1"/>
  <c r="E144" i="8" s="1"/>
  <c r="E15" i="8"/>
  <c r="E25" i="8" s="1"/>
  <c r="E35" i="8" s="1"/>
  <c r="E45" i="8" s="1"/>
  <c r="E55" i="8" s="1"/>
  <c r="E65" i="8" s="1"/>
  <c r="E75" i="8" s="1"/>
  <c r="E85" i="8" s="1"/>
  <c r="E95" i="8" s="1"/>
  <c r="E105" i="8" s="1"/>
  <c r="E115" i="8" s="1"/>
  <c r="E125" i="8" s="1"/>
  <c r="E135" i="8" s="1"/>
  <c r="E145" i="8" s="1"/>
  <c r="E16" i="8"/>
  <c r="E26" i="8" s="1"/>
  <c r="E36" i="8" s="1"/>
  <c r="E46" i="8" s="1"/>
  <c r="E56" i="8" s="1"/>
  <c r="E66" i="8" s="1"/>
  <c r="E76" i="8" s="1"/>
  <c r="E86" i="8" s="1"/>
  <c r="E96" i="8" s="1"/>
  <c r="E106" i="8" s="1"/>
  <c r="E116" i="8" s="1"/>
  <c r="E126" i="8" s="1"/>
  <c r="E136" i="8" s="1"/>
  <c r="E146" i="8" s="1"/>
  <c r="E17" i="8"/>
  <c r="E27" i="8" s="1"/>
  <c r="E37" i="8" s="1"/>
  <c r="E47" i="8" s="1"/>
  <c r="E57" i="8" s="1"/>
  <c r="E67" i="8" s="1"/>
  <c r="E77" i="8" s="1"/>
  <c r="E87" i="8" s="1"/>
  <c r="E97" i="8" s="1"/>
  <c r="E107" i="8" s="1"/>
  <c r="E117" i="8" s="1"/>
  <c r="E127" i="8" s="1"/>
  <c r="E137" i="8" s="1"/>
  <c r="E147" i="8" s="1"/>
  <c r="E18" i="8"/>
  <c r="E28" i="8" s="1"/>
  <c r="E38" i="8" s="1"/>
  <c r="E48" i="8" s="1"/>
  <c r="E58" i="8" s="1"/>
  <c r="E68" i="8" s="1"/>
  <c r="E78" i="8" s="1"/>
  <c r="E88" i="8" s="1"/>
  <c r="E98" i="8" s="1"/>
  <c r="E108" i="8" s="1"/>
  <c r="E118" i="8" s="1"/>
  <c r="E128" i="8" s="1"/>
  <c r="E138" i="8" s="1"/>
  <c r="E148" i="8" s="1"/>
  <c r="E19" i="8"/>
  <c r="E29" i="8" s="1"/>
  <c r="E39" i="8" s="1"/>
  <c r="E49" i="8" s="1"/>
  <c r="E59" i="8" s="1"/>
  <c r="E69" i="8" s="1"/>
  <c r="E79" i="8" s="1"/>
  <c r="E89" i="8" s="1"/>
  <c r="E99" i="8" s="1"/>
  <c r="E109" i="8" s="1"/>
  <c r="E119" i="8" s="1"/>
  <c r="E129" i="8" s="1"/>
  <c r="E139" i="8" s="1"/>
  <c r="E149" i="8" s="1"/>
  <c r="E20" i="8"/>
  <c r="E30" i="8" s="1"/>
  <c r="E40" i="8" s="1"/>
  <c r="E50" i="8" s="1"/>
  <c r="E60" i="8" s="1"/>
  <c r="E70" i="8" s="1"/>
  <c r="E80" i="8" s="1"/>
  <c r="E90" i="8" s="1"/>
  <c r="E100" i="8" s="1"/>
  <c r="E110" i="8" s="1"/>
  <c r="E120" i="8" s="1"/>
  <c r="E130" i="8" s="1"/>
  <c r="E140" i="8" s="1"/>
  <c r="E150" i="8" s="1"/>
  <c r="E21" i="8"/>
  <c r="E31" i="8" s="1"/>
  <c r="E41" i="8" s="1"/>
  <c r="E51" i="8" s="1"/>
  <c r="E61" i="8" s="1"/>
  <c r="E71" i="8" s="1"/>
  <c r="E81" i="8" s="1"/>
  <c r="E91" i="8" s="1"/>
  <c r="E101" i="8" s="1"/>
  <c r="E111" i="8" s="1"/>
  <c r="E121" i="8" s="1"/>
  <c r="E131" i="8" s="1"/>
  <c r="E141" i="8" s="1"/>
  <c r="E151" i="8" s="1"/>
  <c r="C13" i="8"/>
  <c r="C14" i="8"/>
  <c r="C15" i="8"/>
  <c r="C16" i="8"/>
  <c r="C17" i="8"/>
  <c r="C18" i="8"/>
  <c r="E12" i="8"/>
  <c r="E22" i="8" s="1"/>
  <c r="E32" i="8" s="1"/>
  <c r="E42" i="8" s="1"/>
  <c r="E52" i="8" s="1"/>
  <c r="E62" i="8" s="1"/>
  <c r="E72" i="8" s="1"/>
  <c r="E82" i="8" s="1"/>
  <c r="E92" i="8" s="1"/>
  <c r="E102" i="8" s="1"/>
  <c r="E112" i="8" s="1"/>
  <c r="E122" i="8" s="1"/>
  <c r="E132" i="8" s="1"/>
  <c r="E142" i="8" s="1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92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44" i="7"/>
  <c r="C37" i="7"/>
  <c r="C38" i="7"/>
  <c r="C39" i="7"/>
  <c r="C40" i="7"/>
  <c r="C41" i="7"/>
  <c r="C42" i="7"/>
  <c r="C43" i="7"/>
  <c r="C36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17" i="7"/>
  <c r="C18" i="7"/>
  <c r="C19" i="7"/>
  <c r="C20" i="7"/>
  <c r="C21" i="7"/>
  <c r="C22" i="7"/>
  <c r="C16" i="7"/>
  <c r="E15" i="7"/>
  <c r="E22" i="7" s="1"/>
  <c r="E29" i="7" s="1"/>
  <c r="E36" i="7" s="1"/>
  <c r="E43" i="7" s="1"/>
  <c r="E50" i="7" s="1"/>
  <c r="E57" i="7" s="1"/>
  <c r="E64" i="7" s="1"/>
  <c r="E71" i="7" s="1"/>
  <c r="E78" i="7" s="1"/>
  <c r="E85" i="7" s="1"/>
  <c r="E92" i="7" s="1"/>
  <c r="E99" i="7" s="1"/>
  <c r="E106" i="7" s="1"/>
  <c r="E10" i="7"/>
  <c r="E17" i="7" s="1"/>
  <c r="E24" i="7" s="1"/>
  <c r="E31" i="7" s="1"/>
  <c r="E38" i="7" s="1"/>
  <c r="E45" i="7" s="1"/>
  <c r="E52" i="7" s="1"/>
  <c r="E59" i="7" s="1"/>
  <c r="E66" i="7" s="1"/>
  <c r="E73" i="7" s="1"/>
  <c r="E80" i="7" s="1"/>
  <c r="E87" i="7" s="1"/>
  <c r="E94" i="7" s="1"/>
  <c r="E101" i="7" s="1"/>
  <c r="E11" i="7"/>
  <c r="E18" i="7" s="1"/>
  <c r="E25" i="7" s="1"/>
  <c r="E32" i="7" s="1"/>
  <c r="E39" i="7" s="1"/>
  <c r="E46" i="7" s="1"/>
  <c r="E53" i="7" s="1"/>
  <c r="E60" i="7" s="1"/>
  <c r="E67" i="7" s="1"/>
  <c r="E74" i="7" s="1"/>
  <c r="E81" i="7" s="1"/>
  <c r="E88" i="7" s="1"/>
  <c r="E95" i="7" s="1"/>
  <c r="E102" i="7" s="1"/>
  <c r="E12" i="7"/>
  <c r="E19" i="7" s="1"/>
  <c r="E26" i="7" s="1"/>
  <c r="E33" i="7" s="1"/>
  <c r="E40" i="7" s="1"/>
  <c r="E47" i="7" s="1"/>
  <c r="E54" i="7" s="1"/>
  <c r="E61" i="7" s="1"/>
  <c r="E68" i="7" s="1"/>
  <c r="E75" i="7" s="1"/>
  <c r="E82" i="7" s="1"/>
  <c r="E89" i="7" s="1"/>
  <c r="E96" i="7" s="1"/>
  <c r="E103" i="7" s="1"/>
  <c r="E13" i="7"/>
  <c r="E20" i="7" s="1"/>
  <c r="E27" i="7" s="1"/>
  <c r="E34" i="7" s="1"/>
  <c r="E41" i="7" s="1"/>
  <c r="E48" i="7" s="1"/>
  <c r="E55" i="7" s="1"/>
  <c r="E62" i="7" s="1"/>
  <c r="E69" i="7" s="1"/>
  <c r="E76" i="7" s="1"/>
  <c r="E83" i="7" s="1"/>
  <c r="E90" i="7" s="1"/>
  <c r="E97" i="7" s="1"/>
  <c r="E104" i="7" s="1"/>
  <c r="E14" i="7"/>
  <c r="E21" i="7" s="1"/>
  <c r="E28" i="7" s="1"/>
  <c r="E35" i="7" s="1"/>
  <c r="E42" i="7" s="1"/>
  <c r="E49" i="7" s="1"/>
  <c r="E56" i="7" s="1"/>
  <c r="E63" i="7" s="1"/>
  <c r="E70" i="7" s="1"/>
  <c r="E77" i="7" s="1"/>
  <c r="E84" i="7" s="1"/>
  <c r="E91" i="7" s="1"/>
  <c r="E98" i="7" s="1"/>
  <c r="E105" i="7" s="1"/>
  <c r="E9" i="7"/>
  <c r="E16" i="7" s="1"/>
  <c r="E23" i="7" s="1"/>
  <c r="E30" i="7" s="1"/>
  <c r="E37" i="7" s="1"/>
  <c r="E44" i="7" s="1"/>
  <c r="E51" i="7" s="1"/>
  <c r="E58" i="7" s="1"/>
  <c r="E65" i="7" s="1"/>
  <c r="E72" i="7" s="1"/>
  <c r="E79" i="7" s="1"/>
  <c r="E86" i="7" s="1"/>
  <c r="E93" i="7" s="1"/>
  <c r="E100" i="7" s="1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00" i="6"/>
  <c r="C101" i="6"/>
  <c r="C102" i="6"/>
  <c r="C103" i="6"/>
  <c r="C104" i="6"/>
  <c r="C105" i="6"/>
  <c r="C106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72" i="6"/>
  <c r="C73" i="6"/>
  <c r="C74" i="6"/>
  <c r="C75" i="6"/>
  <c r="C76" i="6"/>
  <c r="C77" i="6"/>
  <c r="C78" i="6"/>
  <c r="C71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44" i="6"/>
  <c r="C45" i="6"/>
  <c r="C46" i="6"/>
  <c r="C47" i="6"/>
  <c r="C48" i="6"/>
  <c r="C49" i="6"/>
  <c r="C50" i="6"/>
  <c r="C37" i="6"/>
  <c r="C38" i="6"/>
  <c r="C39" i="6"/>
  <c r="C40" i="6"/>
  <c r="C41" i="6"/>
  <c r="C42" i="6"/>
  <c r="C43" i="6"/>
  <c r="C33" i="6"/>
  <c r="C34" i="6"/>
  <c r="C35" i="6"/>
  <c r="C36" i="6"/>
  <c r="C26" i="6"/>
  <c r="C27" i="6"/>
  <c r="C28" i="6"/>
  <c r="C29" i="6"/>
  <c r="C30" i="6"/>
  <c r="C31" i="6"/>
  <c r="C32" i="6"/>
  <c r="C24" i="6"/>
  <c r="C25" i="6"/>
  <c r="C23" i="6"/>
  <c r="C17" i="6"/>
  <c r="C18" i="6"/>
  <c r="C19" i="6"/>
  <c r="C20" i="6"/>
  <c r="C21" i="6"/>
  <c r="C22" i="6"/>
  <c r="C16" i="6"/>
  <c r="E16" i="6"/>
  <c r="E23" i="6" s="1"/>
  <c r="E30" i="6" s="1"/>
  <c r="E37" i="6" s="1"/>
  <c r="E44" i="6" s="1"/>
  <c r="E51" i="6" s="1"/>
  <c r="E58" i="6" s="1"/>
  <c r="E65" i="6" s="1"/>
  <c r="E72" i="6" s="1"/>
  <c r="E79" i="6" s="1"/>
  <c r="E86" i="6" s="1"/>
  <c r="E93" i="6" s="1"/>
  <c r="E100" i="6" s="1"/>
  <c r="E107" i="6" s="1"/>
  <c r="E114" i="6" s="1"/>
  <c r="E11" i="6"/>
  <c r="E18" i="6" s="1"/>
  <c r="E25" i="6" s="1"/>
  <c r="E32" i="6" s="1"/>
  <c r="E39" i="6" s="1"/>
  <c r="E46" i="6" s="1"/>
  <c r="E53" i="6" s="1"/>
  <c r="E60" i="6" s="1"/>
  <c r="E67" i="6" s="1"/>
  <c r="E74" i="6" s="1"/>
  <c r="E81" i="6" s="1"/>
  <c r="E88" i="6" s="1"/>
  <c r="E95" i="6" s="1"/>
  <c r="E102" i="6" s="1"/>
  <c r="E109" i="6" s="1"/>
  <c r="E116" i="6" s="1"/>
  <c r="E12" i="6"/>
  <c r="E19" i="6" s="1"/>
  <c r="E26" i="6" s="1"/>
  <c r="E33" i="6" s="1"/>
  <c r="E40" i="6" s="1"/>
  <c r="E47" i="6" s="1"/>
  <c r="E54" i="6" s="1"/>
  <c r="E61" i="6" s="1"/>
  <c r="E68" i="6" s="1"/>
  <c r="E75" i="6" s="1"/>
  <c r="E82" i="6" s="1"/>
  <c r="E89" i="6" s="1"/>
  <c r="E96" i="6" s="1"/>
  <c r="E103" i="6" s="1"/>
  <c r="E110" i="6" s="1"/>
  <c r="E117" i="6" s="1"/>
  <c r="E13" i="6"/>
  <c r="E20" i="6" s="1"/>
  <c r="E27" i="6" s="1"/>
  <c r="E34" i="6" s="1"/>
  <c r="E41" i="6" s="1"/>
  <c r="E48" i="6" s="1"/>
  <c r="E55" i="6" s="1"/>
  <c r="E62" i="6" s="1"/>
  <c r="E69" i="6" s="1"/>
  <c r="E76" i="6" s="1"/>
  <c r="E83" i="6" s="1"/>
  <c r="E90" i="6" s="1"/>
  <c r="E97" i="6" s="1"/>
  <c r="E104" i="6" s="1"/>
  <c r="E111" i="6" s="1"/>
  <c r="E118" i="6" s="1"/>
  <c r="E14" i="6"/>
  <c r="E21" i="6" s="1"/>
  <c r="E28" i="6" s="1"/>
  <c r="E35" i="6" s="1"/>
  <c r="E42" i="6" s="1"/>
  <c r="E49" i="6" s="1"/>
  <c r="E56" i="6" s="1"/>
  <c r="E63" i="6" s="1"/>
  <c r="E70" i="6" s="1"/>
  <c r="E77" i="6" s="1"/>
  <c r="E84" i="6" s="1"/>
  <c r="E91" i="6" s="1"/>
  <c r="E98" i="6" s="1"/>
  <c r="E105" i="6" s="1"/>
  <c r="E112" i="6" s="1"/>
  <c r="E119" i="6" s="1"/>
  <c r="E15" i="6"/>
  <c r="E22" i="6" s="1"/>
  <c r="E29" i="6" s="1"/>
  <c r="E36" i="6" s="1"/>
  <c r="E43" i="6" s="1"/>
  <c r="E50" i="6" s="1"/>
  <c r="E57" i="6" s="1"/>
  <c r="E64" i="6" s="1"/>
  <c r="E71" i="6" s="1"/>
  <c r="E78" i="6" s="1"/>
  <c r="E85" i="6" s="1"/>
  <c r="E92" i="6" s="1"/>
  <c r="E99" i="6" s="1"/>
  <c r="E106" i="6" s="1"/>
  <c r="E113" i="6" s="1"/>
  <c r="E120" i="6" s="1"/>
  <c r="E10" i="6"/>
  <c r="E17" i="6" s="1"/>
  <c r="E24" i="6" s="1"/>
  <c r="E31" i="6" s="1"/>
  <c r="E38" i="6" s="1"/>
  <c r="E45" i="6" s="1"/>
  <c r="E52" i="6" s="1"/>
  <c r="E59" i="6" s="1"/>
  <c r="E66" i="6" s="1"/>
  <c r="E73" i="6" s="1"/>
  <c r="E80" i="6" s="1"/>
  <c r="E87" i="6" s="1"/>
  <c r="E94" i="6" s="1"/>
  <c r="E101" i="6" s="1"/>
  <c r="E108" i="6" s="1"/>
  <c r="E115" i="6" s="1"/>
  <c r="C97" i="5"/>
  <c r="C86" i="5"/>
  <c r="C87" i="5"/>
  <c r="C88" i="5"/>
  <c r="C89" i="5"/>
  <c r="C90" i="5"/>
  <c r="C91" i="5"/>
  <c r="C92" i="5"/>
  <c r="C93" i="5"/>
  <c r="C94" i="5"/>
  <c r="C95" i="5"/>
  <c r="C96" i="5"/>
  <c r="C98" i="5"/>
  <c r="C99" i="5"/>
  <c r="C85" i="5"/>
  <c r="C79" i="5"/>
  <c r="C80" i="5"/>
  <c r="C81" i="5"/>
  <c r="C82" i="5"/>
  <c r="C83" i="5"/>
  <c r="C84" i="5"/>
  <c r="C72" i="5"/>
  <c r="C73" i="5"/>
  <c r="C74" i="5"/>
  <c r="C75" i="5"/>
  <c r="C76" i="5"/>
  <c r="C77" i="5"/>
  <c r="C78" i="5"/>
  <c r="C71" i="5"/>
  <c r="C65" i="5"/>
  <c r="C66" i="5"/>
  <c r="C67" i="5"/>
  <c r="C68" i="5"/>
  <c r="C69" i="5"/>
  <c r="C70" i="5"/>
  <c r="C58" i="5"/>
  <c r="C59" i="5"/>
  <c r="C60" i="5"/>
  <c r="C61" i="5"/>
  <c r="C62" i="5"/>
  <c r="C63" i="5"/>
  <c r="C64" i="5"/>
  <c r="C51" i="5"/>
  <c r="C52" i="5"/>
  <c r="C53" i="5"/>
  <c r="C54" i="5"/>
  <c r="C55" i="5"/>
  <c r="C56" i="5"/>
  <c r="C5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E17" i="5"/>
  <c r="E24" i="5" s="1"/>
  <c r="E31" i="5" s="1"/>
  <c r="E38" i="5" s="1"/>
  <c r="E45" i="5" s="1"/>
  <c r="E52" i="5" s="1"/>
  <c r="E59" i="5" s="1"/>
  <c r="E66" i="5" s="1"/>
  <c r="E73" i="5" s="1"/>
  <c r="E80" i="5" s="1"/>
  <c r="E87" i="5" s="1"/>
  <c r="E94" i="5" s="1"/>
  <c r="E18" i="5"/>
  <c r="E25" i="5" s="1"/>
  <c r="E32" i="5" s="1"/>
  <c r="E39" i="5" s="1"/>
  <c r="E46" i="5" s="1"/>
  <c r="E53" i="5" s="1"/>
  <c r="E60" i="5" s="1"/>
  <c r="E67" i="5" s="1"/>
  <c r="E74" i="5" s="1"/>
  <c r="E81" i="5" s="1"/>
  <c r="E88" i="5" s="1"/>
  <c r="E95" i="5" s="1"/>
  <c r="E19" i="5"/>
  <c r="E26" i="5" s="1"/>
  <c r="E33" i="5" s="1"/>
  <c r="E40" i="5" s="1"/>
  <c r="E47" i="5" s="1"/>
  <c r="E54" i="5" s="1"/>
  <c r="E61" i="5" s="1"/>
  <c r="E68" i="5" s="1"/>
  <c r="E75" i="5" s="1"/>
  <c r="E82" i="5" s="1"/>
  <c r="E89" i="5" s="1"/>
  <c r="E96" i="5" s="1"/>
  <c r="E20" i="5"/>
  <c r="E27" i="5" s="1"/>
  <c r="E34" i="5" s="1"/>
  <c r="E41" i="5" s="1"/>
  <c r="E48" i="5" s="1"/>
  <c r="E55" i="5" s="1"/>
  <c r="E62" i="5" s="1"/>
  <c r="E69" i="5" s="1"/>
  <c r="E76" i="5" s="1"/>
  <c r="E83" i="5" s="1"/>
  <c r="E90" i="5" s="1"/>
  <c r="E97" i="5" s="1"/>
  <c r="E21" i="5"/>
  <c r="E28" i="5" s="1"/>
  <c r="E35" i="5" s="1"/>
  <c r="E42" i="5" s="1"/>
  <c r="E49" i="5" s="1"/>
  <c r="E56" i="5" s="1"/>
  <c r="E63" i="5" s="1"/>
  <c r="E70" i="5" s="1"/>
  <c r="E77" i="5" s="1"/>
  <c r="E84" i="5" s="1"/>
  <c r="E91" i="5" s="1"/>
  <c r="E98" i="5" s="1"/>
  <c r="E22" i="5"/>
  <c r="E29" i="5" s="1"/>
  <c r="E36" i="5" s="1"/>
  <c r="E43" i="5" s="1"/>
  <c r="E50" i="5" s="1"/>
  <c r="E57" i="5" s="1"/>
  <c r="E64" i="5" s="1"/>
  <c r="E71" i="5" s="1"/>
  <c r="E78" i="5" s="1"/>
  <c r="E85" i="5" s="1"/>
  <c r="E92" i="5" s="1"/>
  <c r="E99" i="5" s="1"/>
  <c r="E16" i="5"/>
  <c r="E23" i="5" s="1"/>
  <c r="E30" i="5" s="1"/>
  <c r="E37" i="5" s="1"/>
  <c r="E44" i="5" s="1"/>
  <c r="E51" i="5" s="1"/>
  <c r="E58" i="5" s="1"/>
  <c r="E65" i="5" s="1"/>
  <c r="E72" i="5" s="1"/>
  <c r="E79" i="5" s="1"/>
  <c r="E86" i="5" s="1"/>
  <c r="E93" i="5" s="1"/>
  <c r="B100" i="1"/>
  <c r="B98" i="1"/>
  <c r="B99" i="1"/>
  <c r="C87" i="2"/>
  <c r="C88" i="2"/>
  <c r="C89" i="2"/>
  <c r="C90" i="2"/>
  <c r="C91" i="2"/>
  <c r="C92" i="2"/>
  <c r="C14" i="2"/>
  <c r="C67" i="2"/>
  <c r="C79" i="2"/>
  <c r="C80" i="2"/>
  <c r="C81" i="2"/>
  <c r="C82" i="2"/>
  <c r="C83" i="2"/>
  <c r="C84" i="2"/>
  <c r="C85" i="2"/>
  <c r="C86" i="2"/>
  <c r="C2" i="2"/>
  <c r="C3" i="2"/>
  <c r="C4" i="2"/>
  <c r="C5" i="2"/>
  <c r="C6" i="2"/>
  <c r="C7" i="2"/>
  <c r="C8" i="2"/>
  <c r="C9" i="2"/>
  <c r="C10" i="2"/>
  <c r="C11" i="2"/>
  <c r="C12" i="2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8" i="2"/>
  <c r="C69" i="2"/>
  <c r="C70" i="2"/>
  <c r="C71" i="2"/>
  <c r="C72" i="2"/>
  <c r="C73" i="2"/>
  <c r="C74" i="2"/>
  <c r="C75" i="2"/>
  <c r="C76" i="2"/>
  <c r="C77" i="2"/>
  <c r="C78" i="2"/>
  <c r="B2" i="1"/>
  <c r="E12" i="2"/>
  <c r="E19" i="2" s="1"/>
  <c r="E26" i="2" s="1"/>
  <c r="E33" i="2" s="1"/>
  <c r="E40" i="2" s="1"/>
  <c r="E47" i="2" s="1"/>
  <c r="E54" i="2" s="1"/>
  <c r="E61" i="2" s="1"/>
  <c r="E68" i="2" s="1"/>
  <c r="E75" i="2" s="1"/>
  <c r="E82" i="2" s="1"/>
  <c r="E89" i="2" s="1"/>
  <c r="E13" i="2"/>
  <c r="E20" i="2" s="1"/>
  <c r="E27" i="2" s="1"/>
  <c r="E34" i="2" s="1"/>
  <c r="E41" i="2" s="1"/>
  <c r="E48" i="2" s="1"/>
  <c r="E55" i="2" s="1"/>
  <c r="E62" i="2" s="1"/>
  <c r="E69" i="2" s="1"/>
  <c r="E76" i="2" s="1"/>
  <c r="E83" i="2" s="1"/>
  <c r="E90" i="2" s="1"/>
  <c r="E18" i="2"/>
  <c r="E25" i="2" s="1"/>
  <c r="E32" i="2" s="1"/>
  <c r="E39" i="2" s="1"/>
  <c r="E46" i="2" s="1"/>
  <c r="E53" i="2" s="1"/>
  <c r="E60" i="2" s="1"/>
  <c r="E67" i="2" s="1"/>
  <c r="E74" i="2" s="1"/>
  <c r="E81" i="2" s="1"/>
  <c r="E88" i="2" s="1"/>
  <c r="E9" i="2"/>
  <c r="E16" i="2" s="1"/>
  <c r="E23" i="2" s="1"/>
  <c r="E30" i="2" s="1"/>
  <c r="E37" i="2" s="1"/>
  <c r="E44" i="2" s="1"/>
  <c r="E51" i="2" s="1"/>
  <c r="E58" i="2" s="1"/>
  <c r="E65" i="2" s="1"/>
  <c r="E72" i="2" s="1"/>
  <c r="E79" i="2" s="1"/>
  <c r="E86" i="2" s="1"/>
  <c r="E93" i="2" s="1"/>
  <c r="E10" i="2"/>
  <c r="E17" i="2" s="1"/>
  <c r="E24" i="2" s="1"/>
  <c r="E31" i="2" s="1"/>
  <c r="E38" i="2" s="1"/>
  <c r="E45" i="2" s="1"/>
  <c r="E52" i="2" s="1"/>
  <c r="E59" i="2" s="1"/>
  <c r="E66" i="2" s="1"/>
  <c r="E73" i="2" s="1"/>
  <c r="E80" i="2" s="1"/>
  <c r="E87" i="2" s="1"/>
  <c r="E14" i="2"/>
  <c r="E21" i="2" s="1"/>
  <c r="E28" i="2" s="1"/>
  <c r="E35" i="2" s="1"/>
  <c r="E42" i="2" s="1"/>
  <c r="E49" i="2" s="1"/>
  <c r="E56" i="2" s="1"/>
  <c r="E63" i="2" s="1"/>
  <c r="E70" i="2" s="1"/>
  <c r="E77" i="2" s="1"/>
  <c r="E84" i="2" s="1"/>
  <c r="E91" i="2" s="1"/>
  <c r="E15" i="2"/>
  <c r="E22" i="2" s="1"/>
  <c r="E29" i="2" s="1"/>
  <c r="E36" i="2" s="1"/>
  <c r="E43" i="2" s="1"/>
  <c r="E50" i="2" s="1"/>
  <c r="E57" i="2" s="1"/>
  <c r="E64" i="2" s="1"/>
  <c r="E71" i="2" s="1"/>
  <c r="E78" i="2" s="1"/>
  <c r="E85" i="2" s="1"/>
  <c r="E92" i="2" s="1"/>
  <c r="C142" i="1"/>
  <c r="C143" i="1"/>
  <c r="C144" i="1"/>
  <c r="C145" i="1"/>
  <c r="C146" i="1"/>
  <c r="C147" i="1"/>
  <c r="C148" i="1"/>
  <c r="B142" i="1"/>
  <c r="B143" i="1"/>
  <c r="B144" i="1"/>
  <c r="B145" i="1"/>
  <c r="B146" i="1"/>
  <c r="B147" i="1"/>
  <c r="B148" i="1"/>
  <c r="C141" i="1"/>
  <c r="C135" i="1"/>
  <c r="C136" i="1"/>
  <c r="C137" i="1"/>
  <c r="C138" i="1"/>
  <c r="C139" i="1"/>
  <c r="C140" i="1"/>
  <c r="B135" i="1"/>
  <c r="B136" i="1"/>
  <c r="B137" i="1"/>
  <c r="B138" i="1"/>
  <c r="B139" i="1"/>
  <c r="B140" i="1"/>
  <c r="B141" i="1"/>
  <c r="C2" i="1"/>
  <c r="B128" i="1"/>
  <c r="B129" i="1"/>
  <c r="B130" i="1"/>
  <c r="B131" i="1"/>
  <c r="B132" i="1"/>
  <c r="B133" i="1"/>
  <c r="B134" i="1"/>
  <c r="C128" i="1"/>
  <c r="C129" i="1"/>
  <c r="C130" i="1"/>
  <c r="C131" i="1"/>
  <c r="C132" i="1"/>
  <c r="C133" i="1"/>
  <c r="C134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9" i="1"/>
  <c r="B121" i="1"/>
  <c r="B122" i="1"/>
  <c r="B123" i="1"/>
  <c r="B124" i="1"/>
  <c r="B125" i="1"/>
  <c r="B126" i="1"/>
  <c r="B127" i="1"/>
  <c r="B114" i="1"/>
  <c r="B115" i="1"/>
  <c r="B116" i="1"/>
  <c r="B117" i="1"/>
  <c r="B118" i="1"/>
  <c r="B119" i="1"/>
  <c r="B120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0" i="1"/>
  <c r="B11" i="1"/>
  <c r="B12" i="1"/>
  <c r="B13" i="1"/>
  <c r="B14" i="1"/>
  <c r="B15" i="1"/>
  <c r="B16" i="1"/>
  <c r="B17" i="1"/>
  <c r="B18" i="1"/>
  <c r="B19" i="1"/>
  <c r="B3" i="1"/>
  <c r="B4" i="1"/>
  <c r="B5" i="1"/>
  <c r="B6" i="1"/>
  <c r="B7" i="1"/>
  <c r="B8" i="1"/>
  <c r="E10" i="1"/>
  <c r="E17" i="1" s="1"/>
  <c r="E11" i="1"/>
  <c r="E18" i="1" s="1"/>
  <c r="E12" i="1"/>
  <c r="E19" i="1" s="1"/>
  <c r="E13" i="1"/>
  <c r="E20" i="1" s="1"/>
  <c r="E14" i="1"/>
  <c r="E21" i="1" s="1"/>
  <c r="E15" i="1"/>
  <c r="E22" i="1" s="1"/>
  <c r="E9" i="1"/>
  <c r="E16" i="1" s="1"/>
  <c r="E31" i="1"/>
  <c r="E38" i="1" s="1"/>
  <c r="E45" i="1" s="1"/>
  <c r="E52" i="1" s="1"/>
  <c r="E59" i="1" s="1"/>
  <c r="E66" i="1" s="1"/>
  <c r="E73" i="1" s="1"/>
  <c r="E80" i="1" s="1"/>
  <c r="E87" i="1" s="1"/>
  <c r="E94" i="1" s="1"/>
  <c r="E101" i="1" s="1"/>
  <c r="E108" i="1" s="1"/>
  <c r="E115" i="1" s="1"/>
  <c r="E122" i="1" s="1"/>
  <c r="E129" i="1" s="1"/>
  <c r="E136" i="1" s="1"/>
  <c r="E143" i="1" s="1"/>
  <c r="E32" i="1"/>
  <c r="E39" i="1" s="1"/>
  <c r="E46" i="1" s="1"/>
  <c r="E53" i="1" s="1"/>
  <c r="E60" i="1" s="1"/>
  <c r="E67" i="1" s="1"/>
  <c r="E74" i="1" s="1"/>
  <c r="E81" i="1" s="1"/>
  <c r="E88" i="1" s="1"/>
  <c r="E95" i="1" s="1"/>
  <c r="E102" i="1" s="1"/>
  <c r="E109" i="1" s="1"/>
  <c r="E116" i="1" s="1"/>
  <c r="E123" i="1" s="1"/>
  <c r="E130" i="1" s="1"/>
  <c r="E137" i="1" s="1"/>
  <c r="E144" i="1" s="1"/>
  <c r="E33" i="1"/>
  <c r="E40" i="1" s="1"/>
  <c r="E47" i="1" s="1"/>
  <c r="E54" i="1" s="1"/>
  <c r="E61" i="1" s="1"/>
  <c r="E68" i="1" s="1"/>
  <c r="E75" i="1" s="1"/>
  <c r="E82" i="1" s="1"/>
  <c r="E89" i="1" s="1"/>
  <c r="E96" i="1" s="1"/>
  <c r="E103" i="1" s="1"/>
  <c r="E110" i="1" s="1"/>
  <c r="E117" i="1" s="1"/>
  <c r="E124" i="1" s="1"/>
  <c r="E131" i="1" s="1"/>
  <c r="E138" i="1" s="1"/>
  <c r="E145" i="1" s="1"/>
  <c r="E34" i="1"/>
  <c r="E41" i="1" s="1"/>
  <c r="E48" i="1" s="1"/>
  <c r="E55" i="1" s="1"/>
  <c r="E62" i="1" s="1"/>
  <c r="E69" i="1" s="1"/>
  <c r="E76" i="1" s="1"/>
  <c r="E83" i="1" s="1"/>
  <c r="E90" i="1" s="1"/>
  <c r="E97" i="1" s="1"/>
  <c r="E104" i="1" s="1"/>
  <c r="E111" i="1" s="1"/>
  <c r="E118" i="1" s="1"/>
  <c r="E125" i="1" s="1"/>
  <c r="E132" i="1" s="1"/>
  <c r="E139" i="1" s="1"/>
  <c r="E146" i="1" s="1"/>
  <c r="E35" i="1"/>
  <c r="E42" i="1" s="1"/>
  <c r="E49" i="1" s="1"/>
  <c r="E56" i="1" s="1"/>
  <c r="E63" i="1" s="1"/>
  <c r="E70" i="1" s="1"/>
  <c r="E77" i="1" s="1"/>
  <c r="E84" i="1" s="1"/>
  <c r="E91" i="1" s="1"/>
  <c r="E98" i="1" s="1"/>
  <c r="E105" i="1" s="1"/>
  <c r="E112" i="1" s="1"/>
  <c r="E119" i="1" s="1"/>
  <c r="E126" i="1" s="1"/>
  <c r="E133" i="1" s="1"/>
  <c r="E140" i="1" s="1"/>
  <c r="E147" i="1" s="1"/>
  <c r="E36" i="1"/>
  <c r="E43" i="1" s="1"/>
  <c r="E50" i="1" s="1"/>
  <c r="E57" i="1" s="1"/>
  <c r="E64" i="1" s="1"/>
  <c r="E71" i="1" s="1"/>
  <c r="E78" i="1" s="1"/>
  <c r="E85" i="1" s="1"/>
  <c r="E92" i="1" s="1"/>
  <c r="E99" i="1" s="1"/>
  <c r="E106" i="1" s="1"/>
  <c r="E113" i="1" s="1"/>
  <c r="E120" i="1" s="1"/>
  <c r="E127" i="1" s="1"/>
  <c r="E134" i="1" s="1"/>
  <c r="E141" i="1" s="1"/>
  <c r="E148" i="1" s="1"/>
  <c r="E30" i="1"/>
  <c r="E37" i="1" s="1"/>
  <c r="E44" i="1" s="1"/>
  <c r="E51" i="1" s="1"/>
  <c r="E58" i="1" s="1"/>
  <c r="E65" i="1" s="1"/>
  <c r="E72" i="1" s="1"/>
  <c r="E79" i="1" s="1"/>
  <c r="E86" i="1" s="1"/>
  <c r="E93" i="1" s="1"/>
  <c r="E100" i="1" s="1"/>
  <c r="E107" i="1" s="1"/>
  <c r="E114" i="1" s="1"/>
  <c r="E121" i="1" s="1"/>
  <c r="E128" i="1" s="1"/>
  <c r="E135" i="1" s="1"/>
  <c r="E142" i="1" s="1"/>
  <c r="B109" i="10" l="1"/>
  <c r="B118" i="10" s="1"/>
  <c r="B127" i="10" s="1"/>
  <c r="B136" i="10" s="1"/>
  <c r="B120" i="9"/>
  <c r="B129" i="9" s="1"/>
  <c r="B122" i="9"/>
  <c r="B131" i="9" s="1"/>
  <c r="B124" i="9"/>
  <c r="B133" i="9" s="1"/>
  <c r="B126" i="9"/>
  <c r="B135" i="9" s="1"/>
  <c r="B74" i="9"/>
  <c r="B83" i="9" s="1"/>
  <c r="B92" i="9" s="1"/>
  <c r="B107" i="9"/>
  <c r="B116" i="9" s="1"/>
  <c r="B125" i="9" s="1"/>
  <c r="B134" i="9" s="1"/>
  <c r="B123" i="9"/>
  <c r="B132" i="9" s="1"/>
  <c r="B67" i="9"/>
  <c r="B76" i="9" s="1"/>
  <c r="B85" i="9" s="1"/>
  <c r="B94" i="9" s="1"/>
  <c r="B103" i="9" s="1"/>
  <c r="B112" i="9" s="1"/>
  <c r="B82" i="9"/>
  <c r="B91" i="9" s="1"/>
  <c r="B100" i="9" s="1"/>
  <c r="B109" i="9" s="1"/>
  <c r="B118" i="9" s="1"/>
  <c r="B127" i="9" s="1"/>
  <c r="B136" i="9" s="1"/>
  <c r="E21" i="9"/>
  <c r="E30" i="9" s="1"/>
  <c r="E39" i="9" s="1"/>
  <c r="E48" i="9" s="1"/>
  <c r="E57" i="9" s="1"/>
  <c r="E66" i="9" s="1"/>
  <c r="E75" i="9" s="1"/>
  <c r="E84" i="9" s="1"/>
  <c r="E93" i="9" s="1"/>
  <c r="E102" i="9" s="1"/>
  <c r="E111" i="9" s="1"/>
  <c r="E120" i="9" s="1"/>
  <c r="E129" i="9" s="1"/>
  <c r="E138" i="9" s="1"/>
  <c r="E147" i="9" s="1"/>
  <c r="E156" i="9" s="1"/>
  <c r="E165" i="9" s="1"/>
  <c r="E22" i="9"/>
  <c r="E31" i="9" s="1"/>
  <c r="E40" i="9" s="1"/>
  <c r="E49" i="9" s="1"/>
  <c r="E58" i="9" s="1"/>
  <c r="E67" i="9" s="1"/>
  <c r="E76" i="9" s="1"/>
  <c r="E85" i="9" s="1"/>
  <c r="E94" i="9" s="1"/>
  <c r="E103" i="9" s="1"/>
  <c r="E112" i="9" s="1"/>
  <c r="E121" i="9" s="1"/>
  <c r="E130" i="9" s="1"/>
  <c r="E139" i="9" s="1"/>
  <c r="E148" i="9" s="1"/>
  <c r="E157" i="9" s="1"/>
  <c r="E166" i="9" s="1"/>
  <c r="E23" i="9"/>
  <c r="E32" i="9" s="1"/>
  <c r="E41" i="9" s="1"/>
  <c r="E50" i="9" s="1"/>
  <c r="E59" i="9" s="1"/>
  <c r="E68" i="9" s="1"/>
  <c r="E77" i="9" s="1"/>
  <c r="E86" i="9" s="1"/>
  <c r="E95" i="9" s="1"/>
  <c r="E104" i="9" s="1"/>
  <c r="E113" i="9" s="1"/>
  <c r="E122" i="9" s="1"/>
  <c r="E131" i="9" s="1"/>
  <c r="E140" i="9" s="1"/>
  <c r="E149" i="9" s="1"/>
  <c r="E158" i="9" s="1"/>
  <c r="E167" i="9" s="1"/>
  <c r="E24" i="9"/>
  <c r="E33" i="9" s="1"/>
  <c r="E42" i="9" s="1"/>
  <c r="E51" i="9" s="1"/>
  <c r="E60" i="9" s="1"/>
  <c r="E69" i="9" s="1"/>
  <c r="E78" i="9" s="1"/>
  <c r="E87" i="9" s="1"/>
  <c r="E96" i="9" s="1"/>
  <c r="E105" i="9" s="1"/>
  <c r="E114" i="9" s="1"/>
  <c r="E123" i="9" s="1"/>
  <c r="E132" i="9" s="1"/>
  <c r="E141" i="9" s="1"/>
  <c r="E150" i="9" s="1"/>
  <c r="E159" i="9" s="1"/>
  <c r="E168" i="9" s="1"/>
  <c r="E25" i="9"/>
  <c r="E34" i="9" s="1"/>
  <c r="E43" i="9" s="1"/>
  <c r="E52" i="9" s="1"/>
  <c r="E61" i="9" s="1"/>
  <c r="E70" i="9" s="1"/>
  <c r="E79" i="9" s="1"/>
  <c r="E88" i="9" s="1"/>
  <c r="E97" i="9" s="1"/>
  <c r="E106" i="9" s="1"/>
  <c r="E115" i="9" s="1"/>
  <c r="E124" i="9" s="1"/>
  <c r="E133" i="9" s="1"/>
  <c r="E142" i="9" s="1"/>
  <c r="E151" i="9" s="1"/>
  <c r="E160" i="9" s="1"/>
  <c r="E26" i="9"/>
  <c r="E35" i="9" s="1"/>
  <c r="E44" i="9" s="1"/>
  <c r="E53" i="9" s="1"/>
  <c r="E62" i="9" s="1"/>
  <c r="E71" i="9" s="1"/>
  <c r="E80" i="9" s="1"/>
  <c r="E89" i="9" s="1"/>
  <c r="E98" i="9" s="1"/>
  <c r="E107" i="9" s="1"/>
  <c r="E116" i="9" s="1"/>
  <c r="E125" i="9" s="1"/>
  <c r="E134" i="9" s="1"/>
  <c r="E143" i="9" s="1"/>
  <c r="E152" i="9" s="1"/>
  <c r="E161" i="9" s="1"/>
  <c r="E27" i="9"/>
  <c r="E36" i="9" s="1"/>
  <c r="E45" i="9" s="1"/>
  <c r="E54" i="9" s="1"/>
  <c r="E63" i="9" s="1"/>
  <c r="E72" i="9" s="1"/>
  <c r="E81" i="9" s="1"/>
  <c r="E90" i="9" s="1"/>
  <c r="E99" i="9" s="1"/>
  <c r="E108" i="9" s="1"/>
  <c r="E117" i="9" s="1"/>
  <c r="E126" i="9" s="1"/>
  <c r="E135" i="9" s="1"/>
  <c r="E144" i="9" s="1"/>
  <c r="E153" i="9" s="1"/>
  <c r="E162" i="9" s="1"/>
  <c r="E28" i="9"/>
  <c r="E37" i="9" s="1"/>
  <c r="E46" i="9" s="1"/>
  <c r="E55" i="9" s="1"/>
  <c r="E64" i="9" s="1"/>
  <c r="E73" i="9" s="1"/>
  <c r="E82" i="9" s="1"/>
  <c r="E91" i="9" s="1"/>
  <c r="E100" i="9" s="1"/>
  <c r="E109" i="9" s="1"/>
  <c r="E118" i="9" s="1"/>
  <c r="E127" i="9" s="1"/>
  <c r="E136" i="9" s="1"/>
  <c r="E145" i="9" s="1"/>
  <c r="E154" i="9" s="1"/>
  <c r="E163" i="9" s="1"/>
  <c r="E20" i="9"/>
  <c r="E29" i="9" s="1"/>
  <c r="E38" i="9" s="1"/>
  <c r="E47" i="9" s="1"/>
  <c r="E56" i="9" s="1"/>
  <c r="E65" i="9" s="1"/>
  <c r="E74" i="9" s="1"/>
  <c r="E83" i="9" s="1"/>
  <c r="E92" i="9" s="1"/>
  <c r="E101" i="9" s="1"/>
  <c r="E110" i="9" s="1"/>
  <c r="E119" i="9" s="1"/>
  <c r="E128" i="9" s="1"/>
  <c r="E137" i="9" s="1"/>
  <c r="E146" i="9" s="1"/>
  <c r="E155" i="9" s="1"/>
  <c r="E164" i="9" s="1"/>
  <c r="B101" i="9" l="1"/>
  <c r="B110" i="9" s="1"/>
  <c r="B119" i="9" s="1"/>
  <c r="B128" i="9" s="1"/>
  <c r="B121" i="9"/>
  <c r="B130" i="9" s="1"/>
</calcChain>
</file>

<file path=xl/sharedStrings.xml><?xml version="1.0" encoding="utf-8"?>
<sst xmlns="http://schemas.openxmlformats.org/spreadsheetml/2006/main" count="1670" uniqueCount="196">
  <si>
    <t>id</t>
  </si>
  <si>
    <t>X38</t>
  </si>
  <si>
    <t>T29</t>
  </si>
  <si>
    <t>Q35</t>
  </si>
  <si>
    <t>OZ04</t>
  </si>
  <si>
    <t>FZ20</t>
  </si>
  <si>
    <t>DZ27</t>
  </si>
  <si>
    <t>VZ06</t>
  </si>
  <si>
    <t>hora</t>
  </si>
  <si>
    <t>peso (g)</t>
  </si>
  <si>
    <t>diferecia peso</t>
  </si>
  <si>
    <t>peso fresco</t>
  </si>
  <si>
    <t>Q36</t>
  </si>
  <si>
    <t>W08</t>
  </si>
  <si>
    <t>T16</t>
  </si>
  <si>
    <t>RZ04</t>
  </si>
  <si>
    <t>HZ04</t>
  </si>
  <si>
    <t>BZ07</t>
  </si>
  <si>
    <t>VZ01</t>
  </si>
  <si>
    <t>Peso fresco</t>
  </si>
  <si>
    <t>fecha</t>
  </si>
  <si>
    <t>minutos</t>
  </si>
  <si>
    <t>diferencia peso</t>
  </si>
  <si>
    <t xml:space="preserve">fecha </t>
  </si>
  <si>
    <t>ID</t>
  </si>
  <si>
    <t>OZ20</t>
  </si>
  <si>
    <t>VZ28</t>
  </si>
  <si>
    <t>FZ05</t>
  </si>
  <si>
    <t>V20</t>
  </si>
  <si>
    <t>Q29</t>
  </si>
  <si>
    <t>Peso_fresco</t>
  </si>
  <si>
    <t>diferencia de peso</t>
  </si>
  <si>
    <t xml:space="preserve">minutos </t>
  </si>
  <si>
    <t>DZ20</t>
  </si>
  <si>
    <t>AF</t>
  </si>
  <si>
    <t>T29_002</t>
  </si>
  <si>
    <t>T29_021</t>
  </si>
  <si>
    <t>peso_saturado</t>
  </si>
  <si>
    <t xml:space="preserve">control </t>
  </si>
  <si>
    <t xml:space="preserve">peso_seco </t>
  </si>
  <si>
    <t>poblacion</t>
  </si>
  <si>
    <t>Talpa de Allende</t>
  </si>
  <si>
    <t>Tecoxco</t>
  </si>
  <si>
    <t>Huatusco</t>
  </si>
  <si>
    <t>Cuzalapa</t>
  </si>
  <si>
    <t>Yetzelalag</t>
  </si>
  <si>
    <t>Zongolica</t>
  </si>
  <si>
    <t>Villa Cacoma</t>
  </si>
  <si>
    <t xml:space="preserve">tratamiento </t>
  </si>
  <si>
    <t>miinutos</t>
  </si>
  <si>
    <t>peso</t>
  </si>
  <si>
    <t>hira</t>
  </si>
  <si>
    <t>V14</t>
  </si>
  <si>
    <t>RZ19</t>
  </si>
  <si>
    <t>BZ06</t>
  </si>
  <si>
    <t>VZ26</t>
  </si>
  <si>
    <t>FZ01</t>
  </si>
  <si>
    <t>S38</t>
  </si>
  <si>
    <t>T30</t>
  </si>
  <si>
    <t>Tiempo</t>
  </si>
  <si>
    <t>Peso saturado</t>
  </si>
  <si>
    <t>diferencia_peso</t>
  </si>
  <si>
    <t>EZ14</t>
  </si>
  <si>
    <t>S24</t>
  </si>
  <si>
    <t>X42</t>
  </si>
  <si>
    <t>RZ03</t>
  </si>
  <si>
    <t>UZ20</t>
  </si>
  <si>
    <t>JZ18</t>
  </si>
  <si>
    <t>R25</t>
  </si>
  <si>
    <t>peso saturado</t>
  </si>
  <si>
    <t>PZ03</t>
  </si>
  <si>
    <t>U53</t>
  </si>
  <si>
    <t>X03</t>
  </si>
  <si>
    <t>.</t>
  </si>
  <si>
    <t>R21</t>
  </si>
  <si>
    <t>Z14</t>
  </si>
  <si>
    <t>PZ08</t>
  </si>
  <si>
    <t>HZ19</t>
  </si>
  <si>
    <t>VZ29</t>
  </si>
  <si>
    <t>S46</t>
  </si>
  <si>
    <t>Sequia</t>
  </si>
  <si>
    <t>Q35 REP</t>
  </si>
  <si>
    <t>CZ16</t>
  </si>
  <si>
    <t>VZ09</t>
  </si>
  <si>
    <t>W70</t>
  </si>
  <si>
    <t>R03</t>
  </si>
  <si>
    <t>VZ17</t>
  </si>
  <si>
    <t>OZ03</t>
  </si>
  <si>
    <t>R27</t>
  </si>
  <si>
    <t>MZ04</t>
  </si>
  <si>
    <t>CZ03</t>
  </si>
  <si>
    <t>S20</t>
  </si>
  <si>
    <t>U10</t>
  </si>
  <si>
    <t>Q38</t>
  </si>
  <si>
    <t>UZ16</t>
  </si>
  <si>
    <t>Z06</t>
  </si>
  <si>
    <t>AZ18</t>
  </si>
  <si>
    <t>U33</t>
  </si>
  <si>
    <t>LZ10</t>
  </si>
  <si>
    <t>JZ08</t>
  </si>
  <si>
    <t>PZ11</t>
  </si>
  <si>
    <t>VZ14</t>
  </si>
  <si>
    <t>MZ15</t>
  </si>
  <si>
    <t>UZ17</t>
  </si>
  <si>
    <t>Q19</t>
  </si>
  <si>
    <t>S10</t>
  </si>
  <si>
    <t>Z12</t>
  </si>
  <si>
    <t>Q09</t>
  </si>
  <si>
    <t>X13</t>
  </si>
  <si>
    <t>EZ24</t>
  </si>
  <si>
    <t>AZ12</t>
  </si>
  <si>
    <t>AZ08</t>
  </si>
  <si>
    <t>UZ06</t>
  </si>
  <si>
    <t>UZ19</t>
  </si>
  <si>
    <t>S40</t>
  </si>
  <si>
    <t>W25</t>
  </si>
  <si>
    <t>TZ11</t>
  </si>
  <si>
    <t>R30</t>
  </si>
  <si>
    <t>LZ09</t>
  </si>
  <si>
    <t>UZ22</t>
  </si>
  <si>
    <t>U70</t>
  </si>
  <si>
    <t>Z11</t>
  </si>
  <si>
    <t>KZ06</t>
  </si>
  <si>
    <t>tiempo</t>
  </si>
  <si>
    <t>i</t>
  </si>
  <si>
    <t>V05</t>
  </si>
  <si>
    <t>W72</t>
  </si>
  <si>
    <t>V24</t>
  </si>
  <si>
    <t>S27</t>
  </si>
  <si>
    <t>Q06</t>
  </si>
  <si>
    <t>KZ16</t>
  </si>
  <si>
    <t>JZ09</t>
  </si>
  <si>
    <t>UZ26</t>
  </si>
  <si>
    <t>diferencia</t>
  </si>
  <si>
    <t>MZ10</t>
  </si>
  <si>
    <t>LZ16</t>
  </si>
  <si>
    <t>KZ10</t>
  </si>
  <si>
    <t>UZ21</t>
  </si>
  <si>
    <t>U63</t>
  </si>
  <si>
    <t>U47</t>
  </si>
  <si>
    <t>290/VZ06</t>
  </si>
  <si>
    <t>VZ34</t>
  </si>
  <si>
    <t>MESA 02</t>
  </si>
  <si>
    <t>NZ28</t>
  </si>
  <si>
    <t>OZ18</t>
  </si>
  <si>
    <t>EZ08</t>
  </si>
  <si>
    <t>X47</t>
  </si>
  <si>
    <t>S45</t>
  </si>
  <si>
    <t>U37</t>
  </si>
  <si>
    <t>RZ20</t>
  </si>
  <si>
    <t>TZ03</t>
  </si>
  <si>
    <t>PZ01</t>
  </si>
  <si>
    <t>V27</t>
  </si>
  <si>
    <t>S54</t>
  </si>
  <si>
    <t>REVISR ID</t>
  </si>
  <si>
    <t>R19</t>
  </si>
  <si>
    <t>S28</t>
  </si>
  <si>
    <t>R32</t>
  </si>
  <si>
    <t>Q08</t>
  </si>
  <si>
    <t>V43</t>
  </si>
  <si>
    <t>R26</t>
  </si>
  <si>
    <t>Revisar</t>
  </si>
  <si>
    <t>BZ24</t>
  </si>
  <si>
    <t>VZ25</t>
  </si>
  <si>
    <t>R16</t>
  </si>
  <si>
    <t>R17</t>
  </si>
  <si>
    <t>MESA 03</t>
  </si>
  <si>
    <t>S17</t>
  </si>
  <si>
    <t>DZ16</t>
  </si>
  <si>
    <t>Q24</t>
  </si>
  <si>
    <t>R38</t>
  </si>
  <si>
    <t>VZ16</t>
  </si>
  <si>
    <t>VZ21</t>
  </si>
  <si>
    <t>X10</t>
  </si>
  <si>
    <t>UZ13</t>
  </si>
  <si>
    <t>OZ15</t>
  </si>
  <si>
    <t>DZ19</t>
  </si>
  <si>
    <t>S21</t>
  </si>
  <si>
    <t>R41</t>
  </si>
  <si>
    <t>T18</t>
  </si>
  <si>
    <t>V07</t>
  </si>
  <si>
    <t>V42</t>
  </si>
  <si>
    <t xml:space="preserve">Revisar id </t>
  </si>
  <si>
    <t>z15</t>
  </si>
  <si>
    <t>VZ04</t>
  </si>
  <si>
    <t>TZ12</t>
  </si>
  <si>
    <t>S51</t>
  </si>
  <si>
    <t>DZ04</t>
  </si>
  <si>
    <t>X31</t>
  </si>
  <si>
    <t>OZ07</t>
  </si>
  <si>
    <t>R29</t>
  </si>
  <si>
    <t>FZ11</t>
  </si>
  <si>
    <t>UZ08</t>
  </si>
  <si>
    <t>S26</t>
  </si>
  <si>
    <t>base_2</t>
  </si>
  <si>
    <t>base_1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</si>
</sst>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" fontId="0" fillId="0" borderId="0" xfId="0" applyNumberFormat="1"/>
    <xf numFmtId="20" fontId="1" fillId="0" borderId="0" xfId="0" applyNumberFormat="1" applyFont="1"/>
    <xf numFmtId="167" fontId="0" fillId="0" borderId="0" xfId="0" applyNumberFormat="1"/>
    <xf numFmtId="0" fontId="0" fillId="2" borderId="0" xfId="0" applyFill="1"/>
    <xf numFmtId="14" fontId="1" fillId="0" borderId="0" xfId="0" applyNumberFormat="1" applyFont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0888-B160-4BA8-B327-AD0D4AD54C05}">
  <dimension ref="A1:G323"/>
  <sheetViews>
    <sheetView workbookViewId="0">
      <selection activeCell="C14" sqref="C14"/>
    </sheetView>
  </sheetViews>
  <sheetFormatPr baseColWidth="10" defaultRowHeight="14.4" x14ac:dyDescent="0.3"/>
  <cols>
    <col min="3" max="3" width="18.109375" style="5" customWidth="1"/>
    <col min="5" max="5" width="15.21875" bestFit="1" customWidth="1"/>
  </cols>
  <sheetData>
    <row r="1" spans="1:7" x14ac:dyDescent="0.3">
      <c r="A1" t="s">
        <v>0</v>
      </c>
      <c r="B1" t="s">
        <v>49</v>
      </c>
      <c r="C1" s="5" t="s">
        <v>10</v>
      </c>
      <c r="D1" t="s">
        <v>9</v>
      </c>
      <c r="E1" t="s">
        <v>8</v>
      </c>
      <c r="F1" t="s">
        <v>23</v>
      </c>
    </row>
    <row r="2" spans="1:7" x14ac:dyDescent="0.3">
      <c r="A2" t="s">
        <v>1</v>
      </c>
      <c r="B2">
        <f>(COUNTIF($A$2:A2,A2)-1)*20</f>
        <v>0</v>
      </c>
      <c r="C2" s="5">
        <f>0/20</f>
        <v>0</v>
      </c>
      <c r="D2">
        <v>3.2614999999999998</v>
      </c>
      <c r="E2" s="1">
        <v>0.31944444444444442</v>
      </c>
      <c r="F2" s="3">
        <v>46120</v>
      </c>
      <c r="G2" s="7"/>
    </row>
    <row r="3" spans="1:7" x14ac:dyDescent="0.3">
      <c r="A3" t="s">
        <v>2</v>
      </c>
      <c r="B3">
        <f>(COUNTIF($A$2:A3,A3)-1)*20</f>
        <v>0</v>
      </c>
      <c r="C3" s="5">
        <v>0</v>
      </c>
      <c r="D3">
        <v>2.6625999999999999</v>
      </c>
      <c r="E3" s="1">
        <v>0.32013888888888886</v>
      </c>
      <c r="F3" s="3">
        <v>46120</v>
      </c>
    </row>
    <row r="4" spans="1:7" x14ac:dyDescent="0.3">
      <c r="A4" t="s">
        <v>3</v>
      </c>
      <c r="B4">
        <f>(COUNTIF($A$2:A4,A4)-1)*20</f>
        <v>0</v>
      </c>
      <c r="C4" s="5">
        <v>0</v>
      </c>
      <c r="D4">
        <v>2.6469999999999998</v>
      </c>
      <c r="E4" s="1">
        <v>0.32083333333333336</v>
      </c>
      <c r="F4" s="3">
        <v>46120</v>
      </c>
      <c r="G4" s="7"/>
    </row>
    <row r="5" spans="1:7" x14ac:dyDescent="0.3">
      <c r="A5" t="s">
        <v>4</v>
      </c>
      <c r="B5">
        <f>(COUNTIF($A$2:A5,A5)-1)*20</f>
        <v>0</v>
      </c>
      <c r="C5" s="5">
        <v>0</v>
      </c>
      <c r="D5">
        <v>2.7126999999999999</v>
      </c>
      <c r="E5" s="1">
        <v>0.32291666666666669</v>
      </c>
      <c r="F5" s="3">
        <v>46120</v>
      </c>
    </row>
    <row r="6" spans="1:7" x14ac:dyDescent="0.3">
      <c r="A6" t="s">
        <v>5</v>
      </c>
      <c r="B6">
        <f>(COUNTIF($A$2:A6,A6)-1)*20</f>
        <v>0</v>
      </c>
      <c r="C6" s="5">
        <v>0</v>
      </c>
      <c r="D6">
        <v>2.9636</v>
      </c>
      <c r="E6" s="1">
        <v>0.32361111111111113</v>
      </c>
      <c r="F6" s="3">
        <v>46120</v>
      </c>
    </row>
    <row r="7" spans="1:7" x14ac:dyDescent="0.3">
      <c r="A7" t="s">
        <v>6</v>
      </c>
      <c r="B7">
        <f>(COUNTIF($A$2:A7,A7)-1)*20</f>
        <v>0</v>
      </c>
      <c r="C7" s="5">
        <v>0</v>
      </c>
      <c r="D7">
        <v>3.0196000000000001</v>
      </c>
      <c r="E7" s="1">
        <v>0.3263888888888889</v>
      </c>
      <c r="F7" s="3">
        <v>46120</v>
      </c>
    </row>
    <row r="8" spans="1:7" x14ac:dyDescent="0.3">
      <c r="A8" t="s">
        <v>7</v>
      </c>
      <c r="B8">
        <f>(COUNTIF($A$2:A8,A8)-1)*20</f>
        <v>0</v>
      </c>
      <c r="C8" s="5">
        <v>0</v>
      </c>
      <c r="D8">
        <v>2.2422</v>
      </c>
      <c r="E8" s="1">
        <v>0.32708333333333334</v>
      </c>
      <c r="F8" s="3">
        <v>46120</v>
      </c>
    </row>
    <row r="9" spans="1:7" x14ac:dyDescent="0.3">
      <c r="A9" t="s">
        <v>1</v>
      </c>
      <c r="B9">
        <v>20</v>
      </c>
      <c r="C9" s="5">
        <f t="shared" ref="C9:C40" si="0">(D2-D9)/20</f>
        <v>1.0749999999999816E-3</v>
      </c>
      <c r="D9">
        <v>3.24</v>
      </c>
      <c r="E9" s="1">
        <f>E2+(20/1440)</f>
        <v>0.33333333333333331</v>
      </c>
      <c r="F9" s="3">
        <v>46120</v>
      </c>
      <c r="G9" s="7"/>
    </row>
    <row r="10" spans="1:7" x14ac:dyDescent="0.3">
      <c r="A10" t="s">
        <v>2</v>
      </c>
      <c r="B10">
        <f>(COUNTIF($A$2:A10,A10)-1)*20</f>
        <v>20</v>
      </c>
      <c r="C10" s="5">
        <f t="shared" si="0"/>
        <v>9.1499999999999915E-4</v>
      </c>
      <c r="D10">
        <v>2.6442999999999999</v>
      </c>
      <c r="E10" s="1">
        <f t="shared" ref="E10:E15" si="1">E3+(20/1440)</f>
        <v>0.33402777777777776</v>
      </c>
      <c r="F10" s="3">
        <v>46120</v>
      </c>
    </row>
    <row r="11" spans="1:7" x14ac:dyDescent="0.3">
      <c r="A11" t="s">
        <v>3</v>
      </c>
      <c r="B11">
        <f>(COUNTIF($A$2:A11,A11)-1)*20</f>
        <v>20</v>
      </c>
      <c r="C11" s="5">
        <f t="shared" si="0"/>
        <v>1.6049999999999897E-3</v>
      </c>
      <c r="D11">
        <v>2.6149</v>
      </c>
      <c r="E11" s="1">
        <f t="shared" si="1"/>
        <v>0.33472222222222225</v>
      </c>
      <c r="F11" s="3">
        <v>46120</v>
      </c>
      <c r="G11" s="7"/>
    </row>
    <row r="12" spans="1:7" x14ac:dyDescent="0.3">
      <c r="A12" t="s">
        <v>4</v>
      </c>
      <c r="B12">
        <f>(COUNTIF($A$2:A12,A12)-1)*20</f>
        <v>20</v>
      </c>
      <c r="C12" s="5">
        <f t="shared" si="0"/>
        <v>3.649999999999931E-4</v>
      </c>
      <c r="D12">
        <v>2.7054</v>
      </c>
      <c r="E12" s="1">
        <f t="shared" si="1"/>
        <v>0.33680555555555558</v>
      </c>
      <c r="F12" s="3">
        <v>46120</v>
      </c>
    </row>
    <row r="13" spans="1:7" x14ac:dyDescent="0.3">
      <c r="A13" t="s">
        <v>5</v>
      </c>
      <c r="B13">
        <f>(COUNTIF($A$2:A13,A13)-1)*20</f>
        <v>20</v>
      </c>
      <c r="C13" s="5">
        <f t="shared" si="0"/>
        <v>1.4399999999999968E-3</v>
      </c>
      <c r="D13">
        <v>2.9348000000000001</v>
      </c>
      <c r="E13" s="1">
        <f t="shared" si="1"/>
        <v>0.33750000000000002</v>
      </c>
      <c r="F13" s="3">
        <v>46120</v>
      </c>
    </row>
    <row r="14" spans="1:7" x14ac:dyDescent="0.3">
      <c r="A14" t="s">
        <v>6</v>
      </c>
      <c r="B14">
        <f>(COUNTIF($A$2:A14,A14)-1)*20</f>
        <v>20</v>
      </c>
      <c r="C14" s="5">
        <f t="shared" si="0"/>
        <v>1.8000000000000017E-3</v>
      </c>
      <c r="D14">
        <v>2.9836</v>
      </c>
      <c r="E14" s="1">
        <f t="shared" si="1"/>
        <v>0.34027777777777779</v>
      </c>
      <c r="F14" s="3">
        <v>46120</v>
      </c>
    </row>
    <row r="15" spans="1:7" x14ac:dyDescent="0.3">
      <c r="A15" t="s">
        <v>7</v>
      </c>
      <c r="B15">
        <f>(COUNTIF($A$2:A15,A15)-1)*20</f>
        <v>20</v>
      </c>
      <c r="C15" s="5">
        <f t="shared" si="0"/>
        <v>9.0999999999998862E-4</v>
      </c>
      <c r="D15">
        <v>2.2240000000000002</v>
      </c>
      <c r="E15" s="1">
        <f t="shared" si="1"/>
        <v>0.34097222222222223</v>
      </c>
      <c r="F15" s="3">
        <v>46120</v>
      </c>
    </row>
    <row r="16" spans="1:7" x14ac:dyDescent="0.3">
      <c r="A16" t="s">
        <v>1</v>
      </c>
      <c r="B16">
        <f>(COUNTIF($A$2:A16,A16)-1)*20</f>
        <v>40</v>
      </c>
      <c r="C16" s="5">
        <f t="shared" si="0"/>
        <v>1.7650000000000166E-3</v>
      </c>
      <c r="D16">
        <v>3.2046999999999999</v>
      </c>
      <c r="E16" s="1">
        <f>E9+(20/1440)</f>
        <v>0.34722222222222221</v>
      </c>
      <c r="F16" s="3">
        <v>46120</v>
      </c>
      <c r="G16" s="7"/>
    </row>
    <row r="17" spans="1:7" x14ac:dyDescent="0.3">
      <c r="A17" t="s">
        <v>2</v>
      </c>
      <c r="B17">
        <f>(COUNTIF($A$2:A17,A17)-1)*20</f>
        <v>40</v>
      </c>
      <c r="C17" s="5">
        <f t="shared" si="0"/>
        <v>6.0999999999999943E-4</v>
      </c>
      <c r="D17">
        <v>2.6320999999999999</v>
      </c>
      <c r="E17" s="1">
        <f t="shared" ref="E17:E22" si="2">E10+(20/1440)</f>
        <v>0.34791666666666665</v>
      </c>
      <c r="F17" s="3">
        <v>46120</v>
      </c>
    </row>
    <row r="18" spans="1:7" x14ac:dyDescent="0.3">
      <c r="A18" t="s">
        <v>3</v>
      </c>
      <c r="B18">
        <f>(COUNTIF($A$2:A18,A18)-1)*20</f>
        <v>40</v>
      </c>
      <c r="C18" s="5">
        <f t="shared" si="0"/>
        <v>7.500000000000062E-4</v>
      </c>
      <c r="D18">
        <v>2.5998999999999999</v>
      </c>
      <c r="E18" s="1">
        <f t="shared" si="2"/>
        <v>0.34861111111111115</v>
      </c>
      <c r="F18" s="3">
        <v>46120</v>
      </c>
      <c r="G18" s="7"/>
    </row>
    <row r="19" spans="1:7" x14ac:dyDescent="0.3">
      <c r="A19" t="s">
        <v>4</v>
      </c>
      <c r="B19">
        <f>(COUNTIF($A$2:A19,A19)-1)*20</f>
        <v>40</v>
      </c>
      <c r="C19" s="5">
        <f t="shared" si="0"/>
        <v>2.0450000000000077E-3</v>
      </c>
      <c r="D19">
        <v>2.6644999999999999</v>
      </c>
      <c r="E19" s="1">
        <f t="shared" si="2"/>
        <v>0.35069444444444448</v>
      </c>
      <c r="F19" s="3">
        <v>46120</v>
      </c>
    </row>
    <row r="20" spans="1:7" x14ac:dyDescent="0.3">
      <c r="A20" t="s">
        <v>5</v>
      </c>
      <c r="B20">
        <f>(COUNTIF($A$2:A20,A20)-1)*20</f>
        <v>40</v>
      </c>
      <c r="C20" s="5">
        <f t="shared" si="0"/>
        <v>1.1449999999999961E-3</v>
      </c>
      <c r="D20">
        <v>2.9119000000000002</v>
      </c>
      <c r="E20" s="1">
        <f t="shared" si="2"/>
        <v>0.35138888888888892</v>
      </c>
      <c r="F20" s="3">
        <v>46120</v>
      </c>
    </row>
    <row r="21" spans="1:7" x14ac:dyDescent="0.3">
      <c r="A21" t="s">
        <v>6</v>
      </c>
      <c r="B21">
        <f>(COUNTIF($A$2:A21,A21)-1)*20</f>
        <v>40</v>
      </c>
      <c r="C21" s="5">
        <f t="shared" si="0"/>
        <v>1.3849999999999917E-3</v>
      </c>
      <c r="D21">
        <v>2.9559000000000002</v>
      </c>
      <c r="E21" s="1">
        <f t="shared" si="2"/>
        <v>0.35416666666666669</v>
      </c>
      <c r="F21" s="3">
        <v>46120</v>
      </c>
    </row>
    <row r="22" spans="1:7" x14ac:dyDescent="0.3">
      <c r="A22" t="s">
        <v>7</v>
      </c>
      <c r="B22">
        <f>(COUNTIF($A$2:A22,A22)-1)*20</f>
        <v>40</v>
      </c>
      <c r="C22" s="5">
        <f t="shared" si="0"/>
        <v>6.5000000000001721E-4</v>
      </c>
      <c r="D22">
        <v>2.2109999999999999</v>
      </c>
      <c r="E22" s="1">
        <f t="shared" si="2"/>
        <v>0.35486111111111113</v>
      </c>
      <c r="F22" s="3">
        <v>46120</v>
      </c>
    </row>
    <row r="23" spans="1:7" x14ac:dyDescent="0.3">
      <c r="A23" t="s">
        <v>1</v>
      </c>
      <c r="B23">
        <f>(COUNTIF($A$2:A23,A23)-1)*20</f>
        <v>60</v>
      </c>
      <c r="C23" s="5">
        <f t="shared" si="0"/>
        <v>2.5399999999999867E-3</v>
      </c>
      <c r="D23">
        <v>3.1539000000000001</v>
      </c>
      <c r="E23" s="1">
        <v>0.3611111111111111</v>
      </c>
      <c r="F23" s="3">
        <v>46120</v>
      </c>
      <c r="G23" s="7"/>
    </row>
    <row r="24" spans="1:7" x14ac:dyDescent="0.3">
      <c r="A24" t="s">
        <v>2</v>
      </c>
      <c r="B24">
        <f>(COUNTIF($A$2:A24,A24)-1)*20</f>
        <v>60</v>
      </c>
      <c r="C24" s="5">
        <f t="shared" si="0"/>
        <v>9.2999999999998639E-4</v>
      </c>
      <c r="D24">
        <v>2.6135000000000002</v>
      </c>
      <c r="E24" s="1">
        <v>0.36180555555555555</v>
      </c>
      <c r="F24" s="3">
        <v>46120</v>
      </c>
    </row>
    <row r="25" spans="1:7" x14ac:dyDescent="0.3">
      <c r="A25" t="s">
        <v>3</v>
      </c>
      <c r="B25">
        <f>(COUNTIF($A$2:A25,A25)-1)*20</f>
        <v>60</v>
      </c>
      <c r="C25" s="5">
        <f t="shared" si="0"/>
        <v>1.1199999999999878E-3</v>
      </c>
      <c r="D25">
        <v>2.5775000000000001</v>
      </c>
      <c r="E25" s="1">
        <v>0.36249999999999999</v>
      </c>
      <c r="F25" s="3">
        <v>46120</v>
      </c>
      <c r="G25" s="7"/>
    </row>
    <row r="26" spans="1:7" x14ac:dyDescent="0.3">
      <c r="A26" t="s">
        <v>4</v>
      </c>
      <c r="B26">
        <f>(COUNTIF($A$2:A26,A26)-1)*20</f>
        <v>60</v>
      </c>
      <c r="C26" s="5">
        <f t="shared" si="0"/>
        <v>1.0099999999999998E-3</v>
      </c>
      <c r="D26">
        <v>2.6442999999999999</v>
      </c>
      <c r="E26" s="1">
        <v>0.36458333333333331</v>
      </c>
      <c r="F26" s="3">
        <v>46120</v>
      </c>
    </row>
    <row r="27" spans="1:7" x14ac:dyDescent="0.3">
      <c r="A27" t="s">
        <v>5</v>
      </c>
      <c r="B27">
        <f>(COUNTIF($A$2:A27,A27)-1)*20</f>
        <v>60</v>
      </c>
      <c r="C27" s="5">
        <f t="shared" si="0"/>
        <v>1.1300000000000088E-3</v>
      </c>
      <c r="D27">
        <v>2.8893</v>
      </c>
      <c r="E27" s="1">
        <v>0.36527777777777776</v>
      </c>
      <c r="F27" s="3">
        <v>46120</v>
      </c>
    </row>
    <row r="28" spans="1:7" x14ac:dyDescent="0.3">
      <c r="A28" t="s">
        <v>6</v>
      </c>
      <c r="B28">
        <f>(COUNTIF($A$2:A28,A28)-1)*20</f>
        <v>60</v>
      </c>
      <c r="C28" s="5">
        <f t="shared" si="0"/>
        <v>1.3100000000000112E-3</v>
      </c>
      <c r="D28">
        <v>2.9297</v>
      </c>
      <c r="E28" s="1">
        <v>0.36805555555555558</v>
      </c>
      <c r="F28" s="3">
        <v>46120</v>
      </c>
    </row>
    <row r="29" spans="1:7" x14ac:dyDescent="0.3">
      <c r="A29" t="s">
        <v>7</v>
      </c>
      <c r="B29">
        <f>(COUNTIF($A$2:A29,A29)-1)*20</f>
        <v>60</v>
      </c>
      <c r="C29" s="5">
        <f t="shared" si="0"/>
        <v>7.2499999999999789E-4</v>
      </c>
      <c r="D29">
        <v>2.1964999999999999</v>
      </c>
      <c r="E29" s="1">
        <v>0.36875000000000002</v>
      </c>
      <c r="F29" s="3">
        <v>46120</v>
      </c>
    </row>
    <row r="30" spans="1:7" x14ac:dyDescent="0.3">
      <c r="A30" t="s">
        <v>1</v>
      </c>
      <c r="B30">
        <f>(COUNTIF($A$2:A30,A30)-1)*20</f>
        <v>80</v>
      </c>
      <c r="C30" s="5">
        <f t="shared" si="0"/>
        <v>1.5600000000000058E-3</v>
      </c>
      <c r="D30">
        <v>3.1227</v>
      </c>
      <c r="E30" s="1">
        <f>E23+(20/1440)</f>
        <v>0.375</v>
      </c>
      <c r="F30" s="3">
        <v>46120</v>
      </c>
      <c r="G30" s="7"/>
    </row>
    <row r="31" spans="1:7" x14ac:dyDescent="0.3">
      <c r="A31" t="s">
        <v>2</v>
      </c>
      <c r="B31">
        <f>(COUNTIF($A$2:A31,A31)-1)*20</f>
        <v>80</v>
      </c>
      <c r="C31" s="5">
        <f t="shared" si="0"/>
        <v>9.6500000000001587E-4</v>
      </c>
      <c r="D31">
        <v>2.5941999999999998</v>
      </c>
      <c r="E31" s="1">
        <f t="shared" ref="E31:E36" si="3">E24+(20/1440)</f>
        <v>0.37569444444444444</v>
      </c>
      <c r="F31" s="3">
        <v>46120</v>
      </c>
    </row>
    <row r="32" spans="1:7" x14ac:dyDescent="0.3">
      <c r="A32" t="s">
        <v>3</v>
      </c>
      <c r="B32">
        <f>(COUNTIF($A$2:A32,A32)-1)*20</f>
        <v>80</v>
      </c>
      <c r="C32" s="5">
        <f t="shared" si="0"/>
        <v>1.0600000000000164E-3</v>
      </c>
      <c r="D32">
        <v>2.5562999999999998</v>
      </c>
      <c r="E32" s="1">
        <f t="shared" si="3"/>
        <v>0.37638888888888888</v>
      </c>
      <c r="F32" s="3">
        <v>46120</v>
      </c>
      <c r="G32" s="7"/>
    </row>
    <row r="33" spans="1:7" x14ac:dyDescent="0.3">
      <c r="A33" t="s">
        <v>4</v>
      </c>
      <c r="B33">
        <f>(COUNTIF($A$2:A33,A33)-1)*20</f>
        <v>80</v>
      </c>
      <c r="C33" s="5">
        <f t="shared" si="0"/>
        <v>8.4499999999998465E-4</v>
      </c>
      <c r="D33">
        <v>2.6274000000000002</v>
      </c>
      <c r="E33" s="1">
        <f t="shared" si="3"/>
        <v>0.37847222222222221</v>
      </c>
      <c r="F33" s="3">
        <v>46120</v>
      </c>
    </row>
    <row r="34" spans="1:7" x14ac:dyDescent="0.3">
      <c r="A34" t="s">
        <v>5</v>
      </c>
      <c r="B34">
        <f>(COUNTIF($A$2:A34,A34)-1)*20</f>
        <v>80</v>
      </c>
      <c r="C34" s="5">
        <f t="shared" si="0"/>
        <v>9.9499999999999025E-4</v>
      </c>
      <c r="D34">
        <v>2.8694000000000002</v>
      </c>
      <c r="E34" s="1">
        <f t="shared" si="3"/>
        <v>0.37916666666666665</v>
      </c>
      <c r="F34" s="3">
        <v>46120</v>
      </c>
    </row>
    <row r="35" spans="1:7" x14ac:dyDescent="0.3">
      <c r="A35" t="s">
        <v>6</v>
      </c>
      <c r="B35">
        <f>(COUNTIF($A$2:A35,A35)-1)*20</f>
        <v>80</v>
      </c>
      <c r="C35" s="5">
        <f t="shared" si="0"/>
        <v>1.2850000000000027E-3</v>
      </c>
      <c r="D35">
        <v>2.9039999999999999</v>
      </c>
      <c r="E35" s="1">
        <f t="shared" si="3"/>
        <v>0.38194444444444448</v>
      </c>
      <c r="F35" s="3">
        <v>46120</v>
      </c>
    </row>
    <row r="36" spans="1:7" x14ac:dyDescent="0.3">
      <c r="A36" t="s">
        <v>7</v>
      </c>
      <c r="B36">
        <f>(COUNTIF($A$2:A36,A36)-1)*20</f>
        <v>80</v>
      </c>
      <c r="C36" s="5">
        <f t="shared" si="0"/>
        <v>6.5999999999999392E-4</v>
      </c>
      <c r="D36">
        <v>2.1833</v>
      </c>
      <c r="E36" s="1">
        <f t="shared" si="3"/>
        <v>0.38263888888888892</v>
      </c>
      <c r="F36" s="3">
        <v>46120</v>
      </c>
    </row>
    <row r="37" spans="1:7" x14ac:dyDescent="0.3">
      <c r="A37" t="s">
        <v>1</v>
      </c>
      <c r="B37">
        <f>(COUNTIF($A$2:A37,A37)-1)*20</f>
        <v>100</v>
      </c>
      <c r="C37" s="5">
        <f t="shared" si="0"/>
        <v>1.4399999999999968E-3</v>
      </c>
      <c r="D37">
        <v>3.0939000000000001</v>
      </c>
      <c r="E37" s="1">
        <f>E30+(20/1440)</f>
        <v>0.3888888888888889</v>
      </c>
      <c r="F37" s="3">
        <v>46120</v>
      </c>
      <c r="G37" s="7"/>
    </row>
    <row r="38" spans="1:7" x14ac:dyDescent="0.3">
      <c r="A38" t="s">
        <v>2</v>
      </c>
      <c r="B38">
        <f>(COUNTIF($A$2:A38,A38)-1)*20</f>
        <v>100</v>
      </c>
      <c r="C38" s="5">
        <f t="shared" si="0"/>
        <v>1.3849999999999917E-3</v>
      </c>
      <c r="D38">
        <v>2.5665</v>
      </c>
      <c r="E38" s="1">
        <f t="shared" ref="E38:E43" si="4">E31+(20/1440)</f>
        <v>0.38958333333333334</v>
      </c>
      <c r="F38" s="3">
        <v>46120</v>
      </c>
    </row>
    <row r="39" spans="1:7" x14ac:dyDescent="0.3">
      <c r="A39" t="s">
        <v>3</v>
      </c>
      <c r="B39">
        <f>(COUNTIF($A$2:A39,A39)-1)*20</f>
        <v>100</v>
      </c>
      <c r="C39" s="5">
        <f t="shared" si="0"/>
        <v>1.2299999999999978E-3</v>
      </c>
      <c r="D39">
        <v>2.5316999999999998</v>
      </c>
      <c r="E39" s="1">
        <f t="shared" si="4"/>
        <v>0.39027777777777778</v>
      </c>
      <c r="F39" s="3">
        <v>46120</v>
      </c>
      <c r="G39" s="7"/>
    </row>
    <row r="40" spans="1:7" x14ac:dyDescent="0.3">
      <c r="A40" t="s">
        <v>4</v>
      </c>
      <c r="B40">
        <f>(COUNTIF($A$2:A40,A40)-1)*20</f>
        <v>100</v>
      </c>
      <c r="C40" s="5">
        <f t="shared" si="0"/>
        <v>8.4000000000001847E-4</v>
      </c>
      <c r="D40">
        <v>2.6105999999999998</v>
      </c>
      <c r="E40" s="1">
        <f t="shared" si="4"/>
        <v>0.3923611111111111</v>
      </c>
      <c r="F40" s="3">
        <v>46120</v>
      </c>
    </row>
    <row r="41" spans="1:7" x14ac:dyDescent="0.3">
      <c r="A41" t="s">
        <v>5</v>
      </c>
      <c r="B41">
        <f>(COUNTIF($A$2:A41,A41)-1)*20</f>
        <v>100</v>
      </c>
      <c r="C41" s="5">
        <f t="shared" ref="C41:C72" si="5">(D34-D41)/20</f>
        <v>9.4500000000001809E-4</v>
      </c>
      <c r="D41">
        <v>2.8504999999999998</v>
      </c>
      <c r="E41" s="1">
        <f t="shared" si="4"/>
        <v>0.39305555555555555</v>
      </c>
      <c r="F41" s="3">
        <v>46120</v>
      </c>
    </row>
    <row r="42" spans="1:7" x14ac:dyDescent="0.3">
      <c r="A42" t="s">
        <v>6</v>
      </c>
      <c r="B42">
        <f>(COUNTIF($A$2:A42,A42)-1)*20</f>
        <v>100</v>
      </c>
      <c r="C42" s="5">
        <f t="shared" si="5"/>
        <v>1.3900000000000023E-3</v>
      </c>
      <c r="D42">
        <v>2.8761999999999999</v>
      </c>
      <c r="E42" s="1">
        <f t="shared" si="4"/>
        <v>0.39583333333333337</v>
      </c>
      <c r="F42" s="3">
        <v>46120</v>
      </c>
    </row>
    <row r="43" spans="1:7" x14ac:dyDescent="0.3">
      <c r="A43" t="s">
        <v>7</v>
      </c>
      <c r="B43">
        <f>(COUNTIF($A$2:A43,A43)-1)*20</f>
        <v>100</v>
      </c>
      <c r="C43" s="5">
        <f t="shared" si="5"/>
        <v>6.1999999999999837E-4</v>
      </c>
      <c r="D43">
        <v>2.1709000000000001</v>
      </c>
      <c r="E43" s="1">
        <f t="shared" si="4"/>
        <v>0.39652777777777781</v>
      </c>
      <c r="F43" s="3">
        <v>46120</v>
      </c>
    </row>
    <row r="44" spans="1:7" x14ac:dyDescent="0.3">
      <c r="A44" t="s">
        <v>1</v>
      </c>
      <c r="B44">
        <f>(COUNTIF($A$2:A44,A44)-1)*20</f>
        <v>120</v>
      </c>
      <c r="C44" s="5">
        <f t="shared" si="5"/>
        <v>1.2299999999999978E-3</v>
      </c>
      <c r="D44">
        <v>3.0693000000000001</v>
      </c>
      <c r="E44" s="1">
        <f>E37+(20/1440)</f>
        <v>0.40277777777777779</v>
      </c>
      <c r="F44" s="3">
        <v>46120</v>
      </c>
      <c r="G44" s="7"/>
    </row>
    <row r="45" spans="1:7" x14ac:dyDescent="0.3">
      <c r="A45" t="s">
        <v>2</v>
      </c>
      <c r="B45">
        <f>(COUNTIF($A$2:A45,A45)-1)*20</f>
        <v>120</v>
      </c>
      <c r="C45" s="5">
        <f t="shared" si="5"/>
        <v>1.9099999999999894E-3</v>
      </c>
      <c r="D45">
        <v>2.5283000000000002</v>
      </c>
      <c r="E45" s="1">
        <f t="shared" ref="E45:E50" si="6">E38+(20/1440)</f>
        <v>0.40347222222222223</v>
      </c>
      <c r="F45" s="3">
        <v>46120</v>
      </c>
    </row>
    <row r="46" spans="1:7" x14ac:dyDescent="0.3">
      <c r="A46" t="s">
        <v>3</v>
      </c>
      <c r="B46">
        <f>(COUNTIF($A$2:A46,A46)-1)*20</f>
        <v>120</v>
      </c>
      <c r="C46" s="5">
        <f t="shared" si="5"/>
        <v>1.2499999999999955E-3</v>
      </c>
      <c r="D46">
        <v>2.5066999999999999</v>
      </c>
      <c r="E46" s="1">
        <f t="shared" si="6"/>
        <v>0.40416666666666667</v>
      </c>
      <c r="F46" s="3">
        <v>46120</v>
      </c>
      <c r="G46" s="7"/>
    </row>
    <row r="47" spans="1:7" x14ac:dyDescent="0.3">
      <c r="A47" t="s">
        <v>4</v>
      </c>
      <c r="B47">
        <f>(COUNTIF($A$2:A47,A47)-1)*20</f>
        <v>120</v>
      </c>
      <c r="C47" s="5">
        <f t="shared" si="5"/>
        <v>8.1999999999999846E-4</v>
      </c>
      <c r="D47">
        <v>2.5941999999999998</v>
      </c>
      <c r="E47" s="1">
        <f t="shared" si="6"/>
        <v>0.40625</v>
      </c>
      <c r="F47" s="3">
        <v>46120</v>
      </c>
    </row>
    <row r="48" spans="1:7" x14ac:dyDescent="0.3">
      <c r="A48" t="s">
        <v>5</v>
      </c>
      <c r="B48">
        <f>(COUNTIF($A$2:A48,A48)-1)*20</f>
        <v>120</v>
      </c>
      <c r="C48" s="5">
        <f t="shared" si="5"/>
        <v>9.2999999999998639E-4</v>
      </c>
      <c r="D48">
        <v>2.8319000000000001</v>
      </c>
      <c r="E48" s="1">
        <f t="shared" si="6"/>
        <v>0.40694444444444444</v>
      </c>
      <c r="F48" s="3">
        <v>46120</v>
      </c>
    </row>
    <row r="49" spans="1:7" x14ac:dyDescent="0.3">
      <c r="A49" t="s">
        <v>6</v>
      </c>
      <c r="B49">
        <f>(COUNTIF($A$2:A49,A49)-1)*20</f>
        <v>120</v>
      </c>
      <c r="C49" s="5">
        <f t="shared" si="5"/>
        <v>1.3399999999999857E-3</v>
      </c>
      <c r="D49">
        <v>2.8494000000000002</v>
      </c>
      <c r="E49" s="1">
        <f t="shared" si="6"/>
        <v>0.40972222222222227</v>
      </c>
      <c r="F49" s="3">
        <v>46120</v>
      </c>
    </row>
    <row r="50" spans="1:7" x14ac:dyDescent="0.3">
      <c r="A50" t="s">
        <v>7</v>
      </c>
      <c r="B50">
        <f>(COUNTIF($A$2:A50,A50)-1)*20</f>
        <v>120</v>
      </c>
      <c r="C50" s="5">
        <f t="shared" si="5"/>
        <v>6.3500000000000774E-4</v>
      </c>
      <c r="D50">
        <v>2.1581999999999999</v>
      </c>
      <c r="E50" s="1">
        <f t="shared" si="6"/>
        <v>0.41041666666666671</v>
      </c>
      <c r="F50" s="3">
        <v>46120</v>
      </c>
    </row>
    <row r="51" spans="1:7" x14ac:dyDescent="0.3">
      <c r="A51" t="s">
        <v>1</v>
      </c>
      <c r="B51">
        <f>(COUNTIF($A$2:A51,A51)-1)*20</f>
        <v>140</v>
      </c>
      <c r="C51" s="5">
        <f t="shared" si="5"/>
        <v>1.1850000000000137E-3</v>
      </c>
      <c r="D51">
        <v>3.0455999999999999</v>
      </c>
      <c r="E51" s="1">
        <f>E44+(20/1440)</f>
        <v>0.41666666666666669</v>
      </c>
      <c r="F51" s="3">
        <v>46120</v>
      </c>
      <c r="G51" s="7"/>
    </row>
    <row r="52" spans="1:7" x14ac:dyDescent="0.3">
      <c r="A52" t="s">
        <v>2</v>
      </c>
      <c r="B52">
        <f>(COUNTIF($A$2:A52,A52)-1)*20</f>
        <v>140</v>
      </c>
      <c r="C52" s="5">
        <f t="shared" si="5"/>
        <v>9.5000000000000639E-4</v>
      </c>
      <c r="D52">
        <v>2.5093000000000001</v>
      </c>
      <c r="E52" s="1">
        <f t="shared" ref="E52:E57" si="7">E45+(20/1440)</f>
        <v>0.41736111111111113</v>
      </c>
      <c r="F52" s="3">
        <v>46120</v>
      </c>
    </row>
    <row r="53" spans="1:7" x14ac:dyDescent="0.3">
      <c r="A53" t="s">
        <v>3</v>
      </c>
      <c r="B53">
        <f>(COUNTIF($A$2:A53,A53)-1)*20</f>
        <v>140</v>
      </c>
      <c r="C53" s="5">
        <f t="shared" si="5"/>
        <v>9.2499999999999809E-4</v>
      </c>
      <c r="D53">
        <v>2.4882</v>
      </c>
      <c r="E53" s="1">
        <f t="shared" si="7"/>
        <v>0.41805555555555557</v>
      </c>
      <c r="F53" s="3">
        <v>46120</v>
      </c>
      <c r="G53" s="7"/>
    </row>
    <row r="54" spans="1:7" x14ac:dyDescent="0.3">
      <c r="A54" t="s">
        <v>4</v>
      </c>
      <c r="B54">
        <f>(COUNTIF($A$2:A54,A54)-1)*20</f>
        <v>140</v>
      </c>
      <c r="C54" s="5">
        <f t="shared" si="5"/>
        <v>8.8500000000000243E-4</v>
      </c>
      <c r="D54">
        <v>2.5764999999999998</v>
      </c>
      <c r="E54" s="1">
        <f t="shared" si="7"/>
        <v>0.4201388888888889</v>
      </c>
      <c r="F54" s="3">
        <v>46120</v>
      </c>
    </row>
    <row r="55" spans="1:7" x14ac:dyDescent="0.3">
      <c r="A55" t="s">
        <v>5</v>
      </c>
      <c r="B55">
        <f>(COUNTIF($A$2:A55,A55)-1)*20</f>
        <v>140</v>
      </c>
      <c r="C55" s="5">
        <f t="shared" si="5"/>
        <v>8.0000000000000069E-4</v>
      </c>
      <c r="D55">
        <v>2.8159000000000001</v>
      </c>
      <c r="E55" s="1">
        <f t="shared" si="7"/>
        <v>0.42083333333333334</v>
      </c>
      <c r="F55" s="3">
        <v>46120</v>
      </c>
    </row>
    <row r="56" spans="1:7" x14ac:dyDescent="0.3">
      <c r="A56" t="s">
        <v>6</v>
      </c>
      <c r="B56">
        <f>(COUNTIF($A$2:A56,A56)-1)*20</f>
        <v>140</v>
      </c>
      <c r="C56" s="5">
        <f t="shared" si="5"/>
        <v>1.1850000000000137E-3</v>
      </c>
      <c r="D56">
        <v>2.8256999999999999</v>
      </c>
      <c r="E56" s="1">
        <f t="shared" si="7"/>
        <v>0.42361111111111116</v>
      </c>
      <c r="F56" s="3">
        <v>46120</v>
      </c>
    </row>
    <row r="57" spans="1:7" x14ac:dyDescent="0.3">
      <c r="A57" t="s">
        <v>7</v>
      </c>
      <c r="B57">
        <f>(COUNTIF($A$2:A57,A57)-1)*20</f>
        <v>140</v>
      </c>
      <c r="C57" s="5">
        <f t="shared" si="5"/>
        <v>6.0000000000000049E-4</v>
      </c>
      <c r="D57">
        <v>2.1461999999999999</v>
      </c>
      <c r="E57" s="1">
        <f t="shared" si="7"/>
        <v>0.4243055555555556</v>
      </c>
      <c r="F57" s="3">
        <v>46120</v>
      </c>
    </row>
    <row r="58" spans="1:7" x14ac:dyDescent="0.3">
      <c r="A58" t="s">
        <v>1</v>
      </c>
      <c r="B58">
        <f>(COUNTIF($A$2:A58,A58)-1)*20</f>
        <v>160</v>
      </c>
      <c r="C58" s="5">
        <f t="shared" si="5"/>
        <v>1.2199999999999989E-3</v>
      </c>
      <c r="D58">
        <v>3.0211999999999999</v>
      </c>
      <c r="E58" s="1">
        <f>E51+(20/1440)</f>
        <v>0.43055555555555558</v>
      </c>
      <c r="F58" s="3">
        <v>46120</v>
      </c>
      <c r="G58" s="7"/>
    </row>
    <row r="59" spans="1:7" x14ac:dyDescent="0.3">
      <c r="A59" t="s">
        <v>2</v>
      </c>
      <c r="B59">
        <f>(COUNTIF($A$2:A59,A59)-1)*20</f>
        <v>160</v>
      </c>
      <c r="C59" s="5">
        <f t="shared" si="5"/>
        <v>6.6500000000000445E-4</v>
      </c>
      <c r="D59">
        <v>2.496</v>
      </c>
      <c r="E59" s="1">
        <f t="shared" ref="E59:E122" si="8">E52+(20/1440)</f>
        <v>0.43125000000000002</v>
      </c>
      <c r="F59" s="3">
        <v>46120</v>
      </c>
    </row>
    <row r="60" spans="1:7" x14ac:dyDescent="0.3">
      <c r="A60" t="s">
        <v>3</v>
      </c>
      <c r="B60">
        <f>(COUNTIF($A$2:A60,A60)-1)*20</f>
        <v>160</v>
      </c>
      <c r="C60" s="5">
        <f t="shared" si="5"/>
        <v>8.0000000000000069E-4</v>
      </c>
      <c r="D60">
        <v>2.4722</v>
      </c>
      <c r="E60" s="1">
        <f t="shared" si="8"/>
        <v>0.43194444444444446</v>
      </c>
      <c r="F60" s="3">
        <v>46120</v>
      </c>
      <c r="G60" s="7"/>
    </row>
    <row r="61" spans="1:7" x14ac:dyDescent="0.3">
      <c r="A61" t="s">
        <v>4</v>
      </c>
      <c r="B61">
        <f>(COUNTIF($A$2:A61,A61)-1)*20</f>
        <v>160</v>
      </c>
      <c r="C61" s="5">
        <f t="shared" si="5"/>
        <v>1.1599999999999833E-3</v>
      </c>
      <c r="D61">
        <v>2.5533000000000001</v>
      </c>
      <c r="E61" s="1">
        <f t="shared" si="8"/>
        <v>0.43402777777777779</v>
      </c>
      <c r="F61" s="3">
        <v>46120</v>
      </c>
    </row>
    <row r="62" spans="1:7" x14ac:dyDescent="0.3">
      <c r="A62" t="s">
        <v>5</v>
      </c>
      <c r="B62">
        <f>(COUNTIF($A$2:A62,A62)-1)*20</f>
        <v>160</v>
      </c>
      <c r="C62" s="5">
        <f t="shared" si="5"/>
        <v>8.750000000000036E-4</v>
      </c>
      <c r="D62">
        <v>2.7984</v>
      </c>
      <c r="E62" s="1">
        <f t="shared" si="8"/>
        <v>0.43472222222222223</v>
      </c>
      <c r="F62" s="3">
        <v>46120</v>
      </c>
    </row>
    <row r="63" spans="1:7" x14ac:dyDescent="0.3">
      <c r="A63" t="s">
        <v>6</v>
      </c>
      <c r="B63">
        <f>(COUNTIF($A$2:A63,A63)-1)*20</f>
        <v>160</v>
      </c>
      <c r="C63" s="5">
        <f t="shared" si="5"/>
        <v>1.0549999999999837E-3</v>
      </c>
      <c r="D63">
        <v>2.8046000000000002</v>
      </c>
      <c r="E63" s="1">
        <f t="shared" si="8"/>
        <v>0.43750000000000006</v>
      </c>
      <c r="F63" s="3">
        <v>46120</v>
      </c>
    </row>
    <row r="64" spans="1:7" x14ac:dyDescent="0.3">
      <c r="A64" t="s">
        <v>7</v>
      </c>
      <c r="B64">
        <f>(COUNTIF($A$2:A64,A64)-1)*20</f>
        <v>160</v>
      </c>
      <c r="C64" s="5">
        <f t="shared" si="5"/>
        <v>5.4499999999999547E-4</v>
      </c>
      <c r="D64">
        <v>2.1353</v>
      </c>
      <c r="E64" s="1">
        <f t="shared" si="8"/>
        <v>0.4381944444444445</v>
      </c>
      <c r="F64" s="3">
        <v>46120</v>
      </c>
    </row>
    <row r="65" spans="1:7" x14ac:dyDescent="0.3">
      <c r="A65" t="s">
        <v>1</v>
      </c>
      <c r="B65">
        <f>(COUNTIF($A$2:A65,A65)-1)*20</f>
        <v>180</v>
      </c>
      <c r="C65" s="5">
        <f t="shared" si="5"/>
        <v>1.2099999999999999E-3</v>
      </c>
      <c r="D65">
        <v>2.9969999999999999</v>
      </c>
      <c r="E65" s="1">
        <f>E58+(20/1440)</f>
        <v>0.44444444444444448</v>
      </c>
      <c r="F65" s="3">
        <v>46120</v>
      </c>
      <c r="G65" s="7"/>
    </row>
    <row r="66" spans="1:7" x14ac:dyDescent="0.3">
      <c r="A66" t="s">
        <v>2</v>
      </c>
      <c r="B66">
        <f>(COUNTIF($A$2:A66,A66)-1)*20</f>
        <v>180</v>
      </c>
      <c r="C66" s="5">
        <f t="shared" si="5"/>
        <v>5.7000000000000388E-4</v>
      </c>
      <c r="D66">
        <v>2.4845999999999999</v>
      </c>
      <c r="E66" s="1">
        <f t="shared" si="8"/>
        <v>0.44513888888888892</v>
      </c>
      <c r="F66" s="3">
        <v>46120</v>
      </c>
    </row>
    <row r="67" spans="1:7" x14ac:dyDescent="0.3">
      <c r="A67" t="s">
        <v>3</v>
      </c>
      <c r="B67">
        <f>(COUNTIF($A$2:A67,A67)-1)*20</f>
        <v>180</v>
      </c>
      <c r="C67" s="5">
        <f t="shared" si="5"/>
        <v>6.799999999999917E-4</v>
      </c>
      <c r="D67">
        <v>2.4586000000000001</v>
      </c>
      <c r="E67" s="1">
        <f t="shared" si="8"/>
        <v>0.44583333333333336</v>
      </c>
      <c r="F67" s="3">
        <v>46120</v>
      </c>
      <c r="G67" s="7"/>
    </row>
    <row r="68" spans="1:7" x14ac:dyDescent="0.3">
      <c r="A68" t="s">
        <v>4</v>
      </c>
      <c r="B68">
        <f>(COUNTIF($A$2:A68,A68)-1)*20</f>
        <v>180</v>
      </c>
      <c r="C68" s="5">
        <f t="shared" si="5"/>
        <v>8.3999999999999635E-4</v>
      </c>
      <c r="D68">
        <v>2.5365000000000002</v>
      </c>
      <c r="E68" s="1">
        <f t="shared" si="8"/>
        <v>0.44791666666666669</v>
      </c>
      <c r="F68" s="3">
        <v>46120</v>
      </c>
    </row>
    <row r="69" spans="1:7" x14ac:dyDescent="0.3">
      <c r="A69" t="s">
        <v>5</v>
      </c>
      <c r="B69">
        <f>(COUNTIF($A$2:A69,A69)-1)*20</f>
        <v>180</v>
      </c>
      <c r="C69" s="5">
        <f t="shared" si="5"/>
        <v>8.250000000000091E-4</v>
      </c>
      <c r="D69">
        <v>2.7818999999999998</v>
      </c>
      <c r="E69" s="1">
        <f t="shared" si="8"/>
        <v>0.44861111111111113</v>
      </c>
      <c r="F69" s="3">
        <v>46120</v>
      </c>
    </row>
    <row r="70" spans="1:7" x14ac:dyDescent="0.3">
      <c r="A70" t="s">
        <v>6</v>
      </c>
      <c r="B70">
        <f>(COUNTIF($A$2:A70,A70)-1)*20</f>
        <v>180</v>
      </c>
      <c r="C70" s="5">
        <f t="shared" si="5"/>
        <v>8.5500000000000571E-4</v>
      </c>
      <c r="D70">
        <v>2.7875000000000001</v>
      </c>
      <c r="E70" s="1">
        <f t="shared" si="8"/>
        <v>0.45138888888888895</v>
      </c>
      <c r="F70" s="3">
        <v>46120</v>
      </c>
    </row>
    <row r="71" spans="1:7" x14ac:dyDescent="0.3">
      <c r="A71" t="s">
        <v>7</v>
      </c>
      <c r="B71">
        <f>(COUNTIF($A$2:A71,A71)-1)*20</f>
        <v>180</v>
      </c>
      <c r="C71" s="5">
        <f t="shared" si="5"/>
        <v>4.750000000000032E-4</v>
      </c>
      <c r="D71">
        <v>2.1257999999999999</v>
      </c>
      <c r="E71" s="1">
        <f t="shared" si="8"/>
        <v>0.45208333333333339</v>
      </c>
      <c r="F71" s="3">
        <v>46120</v>
      </c>
    </row>
    <row r="72" spans="1:7" x14ac:dyDescent="0.3">
      <c r="A72" t="s">
        <v>1</v>
      </c>
      <c r="B72">
        <f>(COUNTIF($A$2:A72,A72)-1)*20</f>
        <v>200</v>
      </c>
      <c r="C72" s="5">
        <f t="shared" si="5"/>
        <v>1.2650000000000051E-3</v>
      </c>
      <c r="D72">
        <v>2.9716999999999998</v>
      </c>
      <c r="E72" s="1">
        <f t="shared" si="8"/>
        <v>0.45833333333333337</v>
      </c>
      <c r="F72" s="3">
        <v>46120</v>
      </c>
      <c r="G72" s="7"/>
    </row>
    <row r="73" spans="1:7" x14ac:dyDescent="0.3">
      <c r="A73" t="s">
        <v>2</v>
      </c>
      <c r="B73">
        <f>(COUNTIF($A$2:A73,A73)-1)*20</f>
        <v>200</v>
      </c>
      <c r="C73" s="5">
        <f t="shared" ref="C73:C104" si="9">(D66-D73)/20</f>
        <v>6.2499999999998668E-4</v>
      </c>
      <c r="D73">
        <v>2.4721000000000002</v>
      </c>
      <c r="E73" s="1">
        <f t="shared" si="8"/>
        <v>0.45902777777777781</v>
      </c>
      <c r="F73" s="3">
        <v>46120</v>
      </c>
    </row>
    <row r="74" spans="1:7" x14ac:dyDescent="0.3">
      <c r="A74" t="s">
        <v>3</v>
      </c>
      <c r="B74">
        <f>(COUNTIF($A$2:A74,A74)-1)*20</f>
        <v>200</v>
      </c>
      <c r="C74" s="5">
        <f t="shared" si="9"/>
        <v>8.3500000000000794E-4</v>
      </c>
      <c r="D74">
        <v>2.4419</v>
      </c>
      <c r="E74" s="1">
        <f t="shared" si="8"/>
        <v>0.45972222222222225</v>
      </c>
      <c r="F74" s="3">
        <v>46120</v>
      </c>
      <c r="G74" s="7"/>
    </row>
    <row r="75" spans="1:7" x14ac:dyDescent="0.3">
      <c r="A75" t="s">
        <v>4</v>
      </c>
      <c r="B75">
        <f>(COUNTIF($A$2:A75,A75)-1)*20</f>
        <v>200</v>
      </c>
      <c r="C75" s="5">
        <f t="shared" si="9"/>
        <v>7.9500000000001239E-4</v>
      </c>
      <c r="D75">
        <v>2.5206</v>
      </c>
      <c r="E75" s="1">
        <f t="shared" si="8"/>
        <v>0.46180555555555558</v>
      </c>
      <c r="F75" s="3">
        <v>46120</v>
      </c>
    </row>
    <row r="76" spans="1:7" x14ac:dyDescent="0.3">
      <c r="A76" t="s">
        <v>5</v>
      </c>
      <c r="B76">
        <f>(COUNTIF($A$2:A76,A76)-1)*20</f>
        <v>200</v>
      </c>
      <c r="C76" s="5">
        <f t="shared" si="9"/>
        <v>7.0999999999998842E-4</v>
      </c>
      <c r="D76">
        <v>2.7677</v>
      </c>
      <c r="E76" s="1">
        <f t="shared" si="8"/>
        <v>0.46250000000000002</v>
      </c>
      <c r="F76" s="3">
        <v>46120</v>
      </c>
    </row>
    <row r="77" spans="1:7" x14ac:dyDescent="0.3">
      <c r="A77" t="s">
        <v>6</v>
      </c>
      <c r="B77">
        <f>(COUNTIF($A$2:A77,A77)-1)*20</f>
        <v>200</v>
      </c>
      <c r="C77" s="5">
        <f t="shared" si="9"/>
        <v>1.200000000000001E-3</v>
      </c>
      <c r="D77">
        <v>2.7635000000000001</v>
      </c>
      <c r="E77" s="1">
        <f t="shared" si="8"/>
        <v>0.46527777777777785</v>
      </c>
      <c r="F77" s="3">
        <v>46120</v>
      </c>
    </row>
    <row r="78" spans="1:7" x14ac:dyDescent="0.3">
      <c r="A78" t="s">
        <v>7</v>
      </c>
      <c r="B78">
        <f>(COUNTIF($A$2:A78,A78)-1)*20</f>
        <v>200</v>
      </c>
      <c r="C78" s="5">
        <f t="shared" si="9"/>
        <v>6.4500000000000668E-4</v>
      </c>
      <c r="D78">
        <v>2.1128999999999998</v>
      </c>
      <c r="E78" s="1">
        <f t="shared" si="8"/>
        <v>0.46597222222222229</v>
      </c>
      <c r="F78" s="3">
        <v>46120</v>
      </c>
    </row>
    <row r="79" spans="1:7" x14ac:dyDescent="0.3">
      <c r="A79" t="s">
        <v>1</v>
      </c>
      <c r="B79">
        <f>(COUNTIF($A$2:A79,A79)-1)*20</f>
        <v>220</v>
      </c>
      <c r="C79" s="5">
        <f t="shared" si="9"/>
        <v>1.1199999999999878E-3</v>
      </c>
      <c r="D79">
        <v>2.9493</v>
      </c>
      <c r="E79" s="1">
        <f t="shared" si="8"/>
        <v>0.47222222222222227</v>
      </c>
      <c r="F79" s="3">
        <v>46120</v>
      </c>
      <c r="G79" s="7"/>
    </row>
    <row r="80" spans="1:7" x14ac:dyDescent="0.3">
      <c r="A80" t="s">
        <v>2</v>
      </c>
      <c r="B80">
        <f>(COUNTIF($A$2:A80,A80)-1)*20</f>
        <v>220</v>
      </c>
      <c r="C80" s="5">
        <f t="shared" si="9"/>
        <v>5.50000000000006E-4</v>
      </c>
      <c r="D80">
        <v>2.4611000000000001</v>
      </c>
      <c r="E80" s="1">
        <f t="shared" si="8"/>
        <v>0.47291666666666671</v>
      </c>
      <c r="F80" s="3">
        <v>46120</v>
      </c>
    </row>
    <row r="81" spans="1:7" x14ac:dyDescent="0.3">
      <c r="A81" t="s">
        <v>3</v>
      </c>
      <c r="B81">
        <f>(COUNTIF($A$2:A81,A81)-1)*20</f>
        <v>220</v>
      </c>
      <c r="C81" s="5">
        <f t="shared" si="9"/>
        <v>6.4500000000000668E-4</v>
      </c>
      <c r="D81">
        <v>2.4289999999999998</v>
      </c>
      <c r="E81" s="1">
        <f t="shared" si="8"/>
        <v>0.47361111111111115</v>
      </c>
      <c r="F81" s="3">
        <v>46120</v>
      </c>
      <c r="G81" s="7"/>
    </row>
    <row r="82" spans="1:7" x14ac:dyDescent="0.3">
      <c r="A82" t="s">
        <v>4</v>
      </c>
      <c r="B82">
        <f>(COUNTIF($A$2:A82,A82)-1)*20</f>
        <v>220</v>
      </c>
      <c r="C82" s="5">
        <f t="shared" si="9"/>
        <v>8.2999999999999741E-4</v>
      </c>
      <c r="D82">
        <v>2.504</v>
      </c>
      <c r="E82" s="1">
        <f t="shared" si="8"/>
        <v>0.47569444444444448</v>
      </c>
      <c r="F82" s="3">
        <v>46120</v>
      </c>
    </row>
    <row r="83" spans="1:7" x14ac:dyDescent="0.3">
      <c r="A83" t="s">
        <v>5</v>
      </c>
      <c r="B83">
        <f>(COUNTIF($A$2:A83,A83)-1)*20</f>
        <v>220</v>
      </c>
      <c r="C83" s="5">
        <f t="shared" si="9"/>
        <v>8.1999999999999846E-4</v>
      </c>
      <c r="D83">
        <v>2.7513000000000001</v>
      </c>
      <c r="E83" s="1">
        <f t="shared" si="8"/>
        <v>0.47638888888888892</v>
      </c>
      <c r="F83" s="3">
        <v>46120</v>
      </c>
    </row>
    <row r="84" spans="1:7" x14ac:dyDescent="0.3">
      <c r="A84" t="s">
        <v>6</v>
      </c>
      <c r="B84">
        <f>(COUNTIF($A$2:A84,A84)-1)*20</f>
        <v>220</v>
      </c>
      <c r="C84" s="5">
        <f t="shared" si="9"/>
        <v>1.0250000000000092E-3</v>
      </c>
      <c r="D84">
        <v>2.7429999999999999</v>
      </c>
      <c r="E84" s="1">
        <f t="shared" si="8"/>
        <v>0.47916666666666674</v>
      </c>
      <c r="F84" s="3">
        <v>46120</v>
      </c>
    </row>
    <row r="85" spans="1:7" x14ac:dyDescent="0.3">
      <c r="A85" t="s">
        <v>7</v>
      </c>
      <c r="B85">
        <f>(COUNTIF($A$2:A85,A85)-1)*20</f>
        <v>220</v>
      </c>
      <c r="C85" s="5">
        <f t="shared" si="9"/>
        <v>5.7999999999998049E-4</v>
      </c>
      <c r="D85">
        <v>2.1013000000000002</v>
      </c>
      <c r="E85" s="1">
        <f t="shared" si="8"/>
        <v>0.47986111111111118</v>
      </c>
      <c r="F85" s="3">
        <v>46120</v>
      </c>
    </row>
    <row r="86" spans="1:7" x14ac:dyDescent="0.3">
      <c r="A86" t="s">
        <v>1</v>
      </c>
      <c r="B86">
        <f>(COUNTIF($A$2:A86,A86)-1)*20</f>
        <v>240</v>
      </c>
      <c r="C86" s="5">
        <f t="shared" si="9"/>
        <v>1.2250000000000095E-3</v>
      </c>
      <c r="D86">
        <v>2.9247999999999998</v>
      </c>
      <c r="E86" s="1">
        <f t="shared" si="8"/>
        <v>0.48611111111111116</v>
      </c>
      <c r="F86" s="3">
        <v>46120</v>
      </c>
      <c r="G86" s="7"/>
    </row>
    <row r="87" spans="1:7" x14ac:dyDescent="0.3">
      <c r="A87" t="s">
        <v>2</v>
      </c>
      <c r="B87">
        <f>(COUNTIF($A$2:A87,A87)-1)*20</f>
        <v>240</v>
      </c>
      <c r="C87" s="5">
        <f t="shared" si="9"/>
        <v>5.4000000000000716E-4</v>
      </c>
      <c r="D87">
        <v>2.4502999999999999</v>
      </c>
      <c r="E87" s="1">
        <f t="shared" si="8"/>
        <v>0.4868055555555556</v>
      </c>
      <c r="F87" s="3">
        <v>46120</v>
      </c>
    </row>
    <row r="88" spans="1:7" x14ac:dyDescent="0.3">
      <c r="A88" t="s">
        <v>3</v>
      </c>
      <c r="B88">
        <f>(COUNTIF($A$2:A88,A88)-1)*20</f>
        <v>240</v>
      </c>
      <c r="C88" s="5">
        <f t="shared" si="9"/>
        <v>7.4499999999999567E-4</v>
      </c>
      <c r="D88">
        <v>2.4140999999999999</v>
      </c>
      <c r="E88" s="1">
        <f t="shared" si="8"/>
        <v>0.48750000000000004</v>
      </c>
      <c r="F88" s="3">
        <v>46120</v>
      </c>
      <c r="G88" s="7"/>
    </row>
    <row r="89" spans="1:7" x14ac:dyDescent="0.3">
      <c r="A89" t="s">
        <v>4</v>
      </c>
      <c r="B89">
        <f>(COUNTIF($A$2:A89,A89)-1)*20</f>
        <v>240</v>
      </c>
      <c r="C89" s="5">
        <f t="shared" si="9"/>
        <v>9.3499999999999692E-4</v>
      </c>
      <c r="D89">
        <v>2.4853000000000001</v>
      </c>
      <c r="E89" s="1">
        <f t="shared" si="8"/>
        <v>0.48958333333333337</v>
      </c>
      <c r="F89" s="3">
        <v>46120</v>
      </c>
    </row>
    <row r="90" spans="1:7" x14ac:dyDescent="0.3">
      <c r="A90" t="s">
        <v>5</v>
      </c>
      <c r="B90">
        <f>(COUNTIF($A$2:A90,A90)-1)*20</f>
        <v>240</v>
      </c>
      <c r="C90" s="5">
        <f t="shared" si="9"/>
        <v>7.4499999999999567E-4</v>
      </c>
      <c r="D90">
        <v>2.7364000000000002</v>
      </c>
      <c r="E90" s="1">
        <f t="shared" si="8"/>
        <v>0.49027777777777781</v>
      </c>
      <c r="F90" s="3">
        <v>46120</v>
      </c>
    </row>
    <row r="91" spans="1:7" x14ac:dyDescent="0.3">
      <c r="A91" t="s">
        <v>6</v>
      </c>
      <c r="B91">
        <f>(COUNTIF($A$2:A91,A91)-1)*20</f>
        <v>240</v>
      </c>
      <c r="C91" s="5">
        <f t="shared" si="9"/>
        <v>9.8499999999999152E-4</v>
      </c>
      <c r="D91">
        <v>2.7233000000000001</v>
      </c>
      <c r="E91" s="1">
        <f t="shared" si="8"/>
        <v>0.49305555555555564</v>
      </c>
      <c r="F91" s="3">
        <v>46120</v>
      </c>
    </row>
    <row r="92" spans="1:7" x14ac:dyDescent="0.3">
      <c r="A92" t="s">
        <v>7</v>
      </c>
      <c r="B92">
        <f>(COUNTIF($A$2:A92,A92)-1)*20</f>
        <v>240</v>
      </c>
      <c r="C92" s="5">
        <f t="shared" si="9"/>
        <v>5.8500000000001324E-4</v>
      </c>
      <c r="D92">
        <v>2.0895999999999999</v>
      </c>
      <c r="E92" s="1">
        <f t="shared" si="8"/>
        <v>0.49375000000000008</v>
      </c>
      <c r="F92" s="3">
        <v>46120</v>
      </c>
    </row>
    <row r="93" spans="1:7" x14ac:dyDescent="0.3">
      <c r="A93" t="s">
        <v>1</v>
      </c>
      <c r="B93">
        <f>(COUNTIF($A$2:A93,A93)-1)*20</f>
        <v>260</v>
      </c>
      <c r="C93" s="5">
        <f t="shared" si="9"/>
        <v>1.2899999999999912E-3</v>
      </c>
      <c r="D93">
        <v>2.899</v>
      </c>
      <c r="E93" s="1">
        <f t="shared" si="8"/>
        <v>0.5</v>
      </c>
      <c r="F93" s="3">
        <v>46120</v>
      </c>
      <c r="G93" s="7"/>
    </row>
    <row r="94" spans="1:7" x14ac:dyDescent="0.3">
      <c r="A94" t="s">
        <v>2</v>
      </c>
      <c r="B94">
        <f>(COUNTIF($A$2:A94,A94)-1)*20</f>
        <v>260</v>
      </c>
      <c r="C94" s="5">
        <f t="shared" si="9"/>
        <v>5.2499999999999769E-4</v>
      </c>
      <c r="D94">
        <v>2.4398</v>
      </c>
      <c r="E94" s="1">
        <f t="shared" si="8"/>
        <v>0.50069444444444444</v>
      </c>
      <c r="F94" s="3">
        <v>46120</v>
      </c>
    </row>
    <row r="95" spans="1:7" x14ac:dyDescent="0.3">
      <c r="A95" t="s">
        <v>3</v>
      </c>
      <c r="B95">
        <f>(COUNTIF($A$2:A95,A95)-1)*20</f>
        <v>260</v>
      </c>
      <c r="C95" s="5">
        <f t="shared" si="9"/>
        <v>6.6500000000000445E-4</v>
      </c>
      <c r="D95">
        <v>2.4007999999999998</v>
      </c>
      <c r="E95" s="1">
        <f t="shared" si="8"/>
        <v>0.50138888888888888</v>
      </c>
      <c r="F95" s="3">
        <v>46120</v>
      </c>
      <c r="G95" s="7"/>
    </row>
    <row r="96" spans="1:7" x14ac:dyDescent="0.3">
      <c r="A96" t="s">
        <v>4</v>
      </c>
      <c r="B96">
        <f>(COUNTIF($A$2:A96,A96)-1)*20</f>
        <v>260</v>
      </c>
      <c r="C96" s="5">
        <f t="shared" si="9"/>
        <v>7.8500000000001344E-4</v>
      </c>
      <c r="D96">
        <v>2.4695999999999998</v>
      </c>
      <c r="E96" s="1">
        <f t="shared" si="8"/>
        <v>0.50347222222222221</v>
      </c>
      <c r="F96" s="3">
        <v>46120</v>
      </c>
    </row>
    <row r="97" spans="1:7" x14ac:dyDescent="0.3">
      <c r="A97" t="s">
        <v>5</v>
      </c>
      <c r="B97">
        <f>(COUNTIF($A$2:A97,A97)-1)*20</f>
        <v>260</v>
      </c>
      <c r="C97" s="5">
        <f t="shared" si="9"/>
        <v>6.9000000000001287E-4</v>
      </c>
      <c r="D97">
        <v>2.7225999999999999</v>
      </c>
      <c r="E97" s="1">
        <f t="shared" si="8"/>
        <v>0.50416666666666665</v>
      </c>
      <c r="F97" s="3">
        <v>46120</v>
      </c>
    </row>
    <row r="98" spans="1:7" x14ac:dyDescent="0.3">
      <c r="A98" t="s">
        <v>6</v>
      </c>
      <c r="B98">
        <f>(COUNTIF($A$2:A98,A98)-1)*20</f>
        <v>260</v>
      </c>
      <c r="C98" s="5">
        <f t="shared" si="9"/>
        <v>1.1300000000000088E-3</v>
      </c>
      <c r="D98">
        <v>2.7006999999999999</v>
      </c>
      <c r="E98" s="1">
        <f t="shared" si="8"/>
        <v>0.50694444444444453</v>
      </c>
      <c r="F98" s="3">
        <v>46120</v>
      </c>
    </row>
    <row r="99" spans="1:7" x14ac:dyDescent="0.3">
      <c r="A99" t="s">
        <v>7</v>
      </c>
      <c r="B99">
        <f>(COUNTIF($A$2:A99,A99)-1)*20</f>
        <v>260</v>
      </c>
      <c r="C99" s="5">
        <f t="shared" si="9"/>
        <v>5.9000000000000166E-4</v>
      </c>
      <c r="D99">
        <v>2.0777999999999999</v>
      </c>
      <c r="E99" s="1">
        <f t="shared" si="8"/>
        <v>0.50763888888888897</v>
      </c>
      <c r="F99" s="3">
        <v>46120</v>
      </c>
    </row>
    <row r="100" spans="1:7" x14ac:dyDescent="0.3">
      <c r="A100" t="s">
        <v>1</v>
      </c>
      <c r="B100">
        <f>(COUNTIF($A$2:A100,A100)-1)*20</f>
        <v>280</v>
      </c>
      <c r="C100" s="5">
        <f t="shared" si="9"/>
        <v>1.2050000000000116E-3</v>
      </c>
      <c r="D100">
        <v>2.8748999999999998</v>
      </c>
      <c r="E100" s="1">
        <f t="shared" si="8"/>
        <v>0.51388888888888884</v>
      </c>
      <c r="F100" s="3">
        <v>46120</v>
      </c>
      <c r="G100" s="7"/>
    </row>
    <row r="101" spans="1:7" x14ac:dyDescent="0.3">
      <c r="A101" t="s">
        <v>2</v>
      </c>
      <c r="B101">
        <f>(COUNTIF($A$2:A101,A101)-1)*20</f>
        <v>280</v>
      </c>
      <c r="C101" s="5">
        <f t="shared" si="9"/>
        <v>5.2000000000000939E-4</v>
      </c>
      <c r="D101">
        <v>2.4293999999999998</v>
      </c>
      <c r="E101" s="1">
        <f t="shared" si="8"/>
        <v>0.51458333333333328</v>
      </c>
      <c r="F101" s="3">
        <v>46120</v>
      </c>
    </row>
    <row r="102" spans="1:7" x14ac:dyDescent="0.3">
      <c r="A102" t="s">
        <v>3</v>
      </c>
      <c r="B102">
        <f>(COUNTIF($A$2:A102,A102)-1)*20</f>
        <v>280</v>
      </c>
      <c r="C102" s="5">
        <f t="shared" si="9"/>
        <v>7.5999999999998291E-4</v>
      </c>
      <c r="D102">
        <v>2.3856000000000002</v>
      </c>
      <c r="E102" s="1">
        <f t="shared" si="8"/>
        <v>0.51527777777777772</v>
      </c>
      <c r="F102" s="3">
        <v>46120</v>
      </c>
      <c r="G102" s="7"/>
    </row>
    <row r="103" spans="1:7" x14ac:dyDescent="0.3">
      <c r="A103" t="s">
        <v>4</v>
      </c>
      <c r="B103">
        <f>(COUNTIF($A$2:A103,A103)-1)*20</f>
        <v>280</v>
      </c>
      <c r="C103" s="5">
        <f t="shared" si="9"/>
        <v>8.4499999999998465E-4</v>
      </c>
      <c r="D103">
        <v>2.4527000000000001</v>
      </c>
      <c r="E103" s="1">
        <f t="shared" si="8"/>
        <v>0.51736111111111105</v>
      </c>
      <c r="F103" s="3">
        <v>46120</v>
      </c>
    </row>
    <row r="104" spans="1:7" x14ac:dyDescent="0.3">
      <c r="A104" t="s">
        <v>5</v>
      </c>
      <c r="B104">
        <f>(COUNTIF($A$2:A104,A104)-1)*20</f>
        <v>280</v>
      </c>
      <c r="C104" s="5">
        <f t="shared" si="9"/>
        <v>7.2499999999999789E-4</v>
      </c>
      <c r="D104">
        <v>2.7081</v>
      </c>
      <c r="E104" s="1">
        <f t="shared" si="8"/>
        <v>0.51805555555555549</v>
      </c>
      <c r="F104" s="3">
        <v>46120</v>
      </c>
    </row>
    <row r="105" spans="1:7" x14ac:dyDescent="0.3">
      <c r="A105" t="s">
        <v>6</v>
      </c>
      <c r="B105">
        <f>(COUNTIF($A$2:A105,A105)-1)*20</f>
        <v>280</v>
      </c>
      <c r="C105" s="5">
        <f t="shared" ref="C105:C134" si="10">(D98-D105)/20</f>
        <v>9.4999999999998417E-4</v>
      </c>
      <c r="D105">
        <v>2.6817000000000002</v>
      </c>
      <c r="E105" s="1">
        <f t="shared" si="8"/>
        <v>0.52083333333333337</v>
      </c>
      <c r="F105" s="3">
        <v>46120</v>
      </c>
    </row>
    <row r="106" spans="1:7" x14ac:dyDescent="0.3">
      <c r="A106" t="s">
        <v>7</v>
      </c>
      <c r="B106">
        <f>(COUNTIF($A$2:A106,A106)-1)*20</f>
        <v>280</v>
      </c>
      <c r="C106" s="5">
        <f t="shared" si="10"/>
        <v>5.4999999999998388E-4</v>
      </c>
      <c r="D106">
        <v>2.0668000000000002</v>
      </c>
      <c r="E106" s="1">
        <f t="shared" si="8"/>
        <v>0.52152777777777781</v>
      </c>
      <c r="F106" s="3">
        <v>46120</v>
      </c>
    </row>
    <row r="107" spans="1:7" x14ac:dyDescent="0.3">
      <c r="A107" t="s">
        <v>1</v>
      </c>
      <c r="B107">
        <f>(COUNTIF($A$2:A107,A107)-1)*20</f>
        <v>300</v>
      </c>
      <c r="C107" s="5">
        <f t="shared" si="10"/>
        <v>1.1999999999999789E-3</v>
      </c>
      <c r="D107">
        <v>2.8509000000000002</v>
      </c>
      <c r="E107" s="1">
        <f t="shared" si="8"/>
        <v>0.52777777777777768</v>
      </c>
      <c r="F107" s="3">
        <v>46120</v>
      </c>
      <c r="G107" s="7"/>
    </row>
    <row r="108" spans="1:7" x14ac:dyDescent="0.3">
      <c r="A108" t="s">
        <v>2</v>
      </c>
      <c r="B108">
        <f>(COUNTIF($A$2:A108,A108)-1)*20</f>
        <v>300</v>
      </c>
      <c r="C108" s="5">
        <f t="shared" si="10"/>
        <v>6.7499999999998117E-4</v>
      </c>
      <c r="D108">
        <v>2.4159000000000002</v>
      </c>
      <c r="E108" s="1">
        <f t="shared" si="8"/>
        <v>0.52847222222222212</v>
      </c>
      <c r="F108" s="3">
        <v>46120</v>
      </c>
    </row>
    <row r="109" spans="1:7" x14ac:dyDescent="0.3">
      <c r="A109" t="s">
        <v>3</v>
      </c>
      <c r="B109">
        <f>(COUNTIF($A$2:A109,A109)-1)*20</f>
        <v>300</v>
      </c>
      <c r="C109" s="5">
        <f t="shared" si="10"/>
        <v>6.6500000000000445E-4</v>
      </c>
      <c r="D109">
        <v>2.3723000000000001</v>
      </c>
      <c r="E109" s="1">
        <f t="shared" si="8"/>
        <v>0.52916666666666656</v>
      </c>
      <c r="F109" s="3">
        <v>46120</v>
      </c>
      <c r="G109" s="7"/>
    </row>
    <row r="110" spans="1:7" x14ac:dyDescent="0.3">
      <c r="A110" t="s">
        <v>4</v>
      </c>
      <c r="B110">
        <f>(COUNTIF($A$2:A110,A110)-1)*20</f>
        <v>300</v>
      </c>
      <c r="C110" s="5">
        <f t="shared" si="10"/>
        <v>8.0500000000001122E-4</v>
      </c>
      <c r="D110">
        <v>2.4365999999999999</v>
      </c>
      <c r="E110" s="1">
        <f t="shared" si="8"/>
        <v>0.53124999999999989</v>
      </c>
      <c r="F110" s="3">
        <v>46120</v>
      </c>
    </row>
    <row r="111" spans="1:7" x14ac:dyDescent="0.3">
      <c r="A111" t="s">
        <v>5</v>
      </c>
      <c r="B111">
        <f>(COUNTIF($A$2:A111,A111)-1)*20</f>
        <v>300</v>
      </c>
      <c r="C111" s="5">
        <f t="shared" si="10"/>
        <v>6.4500000000000668E-4</v>
      </c>
      <c r="D111">
        <v>2.6951999999999998</v>
      </c>
      <c r="E111" s="1">
        <f t="shared" si="8"/>
        <v>0.53194444444444433</v>
      </c>
      <c r="F111" s="3">
        <v>46120</v>
      </c>
    </row>
    <row r="112" spans="1:7" x14ac:dyDescent="0.3">
      <c r="A112" t="s">
        <v>6</v>
      </c>
      <c r="B112">
        <f>(COUNTIF($A$2:A112,A112)-1)*20</f>
        <v>300</v>
      </c>
      <c r="C112" s="5">
        <f t="shared" si="10"/>
        <v>9.9000000000000195E-4</v>
      </c>
      <c r="D112">
        <v>2.6619000000000002</v>
      </c>
      <c r="E112" s="1">
        <f t="shared" si="8"/>
        <v>0.53472222222222221</v>
      </c>
      <c r="F112" s="3">
        <v>46120</v>
      </c>
    </row>
    <row r="113" spans="1:7" x14ac:dyDescent="0.3">
      <c r="A113" t="s">
        <v>7</v>
      </c>
      <c r="B113">
        <f>(COUNTIF($A$2:A113,A113)-1)*20</f>
        <v>300</v>
      </c>
      <c r="C113" s="5">
        <f t="shared" si="10"/>
        <v>5.4000000000000716E-4</v>
      </c>
      <c r="D113">
        <v>2.056</v>
      </c>
      <c r="E113" s="1">
        <f t="shared" si="8"/>
        <v>0.53541666666666665</v>
      </c>
      <c r="F113" s="3">
        <v>46120</v>
      </c>
    </row>
    <row r="114" spans="1:7" x14ac:dyDescent="0.3">
      <c r="A114" t="s">
        <v>1</v>
      </c>
      <c r="B114">
        <f>(COUNTIF($A$2:A114,A114)-1)*20</f>
        <v>320</v>
      </c>
      <c r="C114" s="5">
        <f t="shared" si="10"/>
        <v>1.2850000000000027E-3</v>
      </c>
      <c r="D114">
        <v>2.8252000000000002</v>
      </c>
      <c r="E114" s="1">
        <f t="shared" si="8"/>
        <v>0.54166666666666652</v>
      </c>
      <c r="F114" s="3">
        <v>46120</v>
      </c>
      <c r="G114" s="7"/>
    </row>
    <row r="115" spans="1:7" x14ac:dyDescent="0.3">
      <c r="A115" t="s">
        <v>2</v>
      </c>
      <c r="B115">
        <f>(COUNTIF($A$2:A115,A115)-1)*20</f>
        <v>320</v>
      </c>
      <c r="C115" s="5">
        <f t="shared" si="10"/>
        <v>5.8000000000000271E-4</v>
      </c>
      <c r="D115">
        <v>2.4043000000000001</v>
      </c>
      <c r="E115" s="1">
        <f t="shared" si="8"/>
        <v>0.54236111111111096</v>
      </c>
      <c r="F115" s="3">
        <v>46120</v>
      </c>
    </row>
    <row r="116" spans="1:7" x14ac:dyDescent="0.3">
      <c r="A116" t="s">
        <v>3</v>
      </c>
      <c r="B116">
        <f>(COUNTIF($A$2:A116,A116)-1)*20</f>
        <v>320</v>
      </c>
      <c r="C116" s="5">
        <f t="shared" si="10"/>
        <v>8.0999999999999963E-4</v>
      </c>
      <c r="D116">
        <v>2.3561000000000001</v>
      </c>
      <c r="E116" s="1">
        <f t="shared" si="8"/>
        <v>0.5430555555555554</v>
      </c>
      <c r="F116" s="3">
        <v>46120</v>
      </c>
      <c r="G116" s="7"/>
    </row>
    <row r="117" spans="1:7" x14ac:dyDescent="0.3">
      <c r="A117" t="s">
        <v>4</v>
      </c>
      <c r="B117">
        <f>(COUNTIF($A$2:A117,A117)-1)*20</f>
        <v>320</v>
      </c>
      <c r="C117" s="5">
        <f t="shared" si="10"/>
        <v>7.1999999999998736E-4</v>
      </c>
      <c r="D117">
        <v>2.4222000000000001</v>
      </c>
      <c r="E117" s="1">
        <f t="shared" si="8"/>
        <v>0.54513888888888873</v>
      </c>
      <c r="F117" s="3">
        <v>46120</v>
      </c>
    </row>
    <row r="118" spans="1:7" x14ac:dyDescent="0.3">
      <c r="A118" t="s">
        <v>5</v>
      </c>
      <c r="B118">
        <f>(COUNTIF($A$2:A118,A118)-1)*20</f>
        <v>320</v>
      </c>
      <c r="C118" s="5">
        <f t="shared" si="10"/>
        <v>6.2999999999999721E-4</v>
      </c>
      <c r="D118">
        <v>2.6825999999999999</v>
      </c>
      <c r="E118" s="1">
        <f t="shared" si="8"/>
        <v>0.54583333333333317</v>
      </c>
      <c r="F118" s="3">
        <v>46120</v>
      </c>
    </row>
    <row r="119" spans="1:7" x14ac:dyDescent="0.3">
      <c r="A119" t="s">
        <v>6</v>
      </c>
      <c r="B119">
        <f>(COUNTIF($A$2:A119,A119)-1)*20</f>
        <v>320</v>
      </c>
      <c r="C119" s="5">
        <f t="shared" si="10"/>
        <v>1.0850000000000026E-3</v>
      </c>
      <c r="D119">
        <v>2.6402000000000001</v>
      </c>
      <c r="E119" s="1">
        <f t="shared" si="8"/>
        <v>0.54861111111111105</v>
      </c>
      <c r="F119" s="3">
        <v>46120</v>
      </c>
    </row>
    <row r="120" spans="1:7" x14ac:dyDescent="0.3">
      <c r="A120" t="s">
        <v>7</v>
      </c>
      <c r="B120">
        <f>(COUNTIF($A$2:A120,A120)-1)*20</f>
        <v>320</v>
      </c>
      <c r="C120" s="5">
        <f t="shared" si="10"/>
        <v>6.1500000000000996E-4</v>
      </c>
      <c r="D120">
        <v>2.0436999999999999</v>
      </c>
      <c r="E120" s="1">
        <f t="shared" si="8"/>
        <v>0.54930555555555549</v>
      </c>
      <c r="F120" s="3">
        <v>46120</v>
      </c>
    </row>
    <row r="121" spans="1:7" x14ac:dyDescent="0.3">
      <c r="A121" t="s">
        <v>1</v>
      </c>
      <c r="B121">
        <f>(COUNTIF($A$2:A121,A121)-1)*20</f>
        <v>340</v>
      </c>
      <c r="C121" s="5">
        <f t="shared" si="10"/>
        <v>1.3050000000000006E-3</v>
      </c>
      <c r="D121">
        <v>2.7991000000000001</v>
      </c>
      <c r="E121" s="1">
        <f t="shared" si="8"/>
        <v>0.55555555555555536</v>
      </c>
      <c r="F121" s="3">
        <v>46120</v>
      </c>
      <c r="G121" s="7"/>
    </row>
    <row r="122" spans="1:7" x14ac:dyDescent="0.3">
      <c r="A122" t="s">
        <v>2</v>
      </c>
      <c r="B122">
        <f>(COUNTIF($A$2:A122,A122)-1)*20</f>
        <v>340</v>
      </c>
      <c r="C122" s="5">
        <f t="shared" si="10"/>
        <v>4.7000000000001484E-4</v>
      </c>
      <c r="D122">
        <v>2.3948999999999998</v>
      </c>
      <c r="E122" s="1">
        <f t="shared" si="8"/>
        <v>0.5562499999999998</v>
      </c>
      <c r="F122" s="3">
        <v>46120</v>
      </c>
    </row>
    <row r="123" spans="1:7" x14ac:dyDescent="0.3">
      <c r="A123" t="s">
        <v>3</v>
      </c>
      <c r="B123">
        <f>(COUNTIF($A$2:A123,A123)-1)*20</f>
        <v>340</v>
      </c>
      <c r="C123" s="5">
        <f t="shared" si="10"/>
        <v>7.5499999999999461E-4</v>
      </c>
      <c r="D123">
        <v>2.3410000000000002</v>
      </c>
      <c r="E123" s="1">
        <f t="shared" ref="E123:E148" si="11">E116+(20/1440)</f>
        <v>0.55694444444444424</v>
      </c>
      <c r="F123" s="3">
        <v>46120</v>
      </c>
      <c r="G123" s="7"/>
    </row>
    <row r="124" spans="1:7" x14ac:dyDescent="0.3">
      <c r="A124" t="s">
        <v>4</v>
      </c>
      <c r="B124">
        <f>(COUNTIF($A$2:A124,A124)-1)*20</f>
        <v>340</v>
      </c>
      <c r="C124" s="5">
        <f t="shared" si="10"/>
        <v>8.5000000000001741E-4</v>
      </c>
      <c r="D124">
        <v>2.4051999999999998</v>
      </c>
      <c r="E124" s="1">
        <f t="shared" si="11"/>
        <v>0.55902777777777757</v>
      </c>
      <c r="F124" s="3">
        <v>46120</v>
      </c>
    </row>
    <row r="125" spans="1:7" x14ac:dyDescent="0.3">
      <c r="A125" t="s">
        <v>5</v>
      </c>
      <c r="B125">
        <f>(COUNTIF($A$2:A125,A125)-1)*20</f>
        <v>340</v>
      </c>
      <c r="C125" s="5">
        <f t="shared" si="10"/>
        <v>6.6500000000000445E-4</v>
      </c>
      <c r="D125">
        <v>2.6692999999999998</v>
      </c>
      <c r="E125" s="1">
        <f t="shared" si="11"/>
        <v>0.55972222222222201</v>
      </c>
      <c r="F125" s="3">
        <v>46120</v>
      </c>
    </row>
    <row r="126" spans="1:7" x14ac:dyDescent="0.3">
      <c r="A126" t="s">
        <v>6</v>
      </c>
      <c r="B126">
        <f>(COUNTIF($A$2:A126,A126)-1)*20</f>
        <v>340</v>
      </c>
      <c r="C126" s="5">
        <f t="shared" si="10"/>
        <v>8.0999999999999963E-4</v>
      </c>
      <c r="D126">
        <v>2.6240000000000001</v>
      </c>
      <c r="E126" s="1">
        <f t="shared" si="11"/>
        <v>0.56249999999999989</v>
      </c>
      <c r="F126" s="3">
        <v>46120</v>
      </c>
    </row>
    <row r="127" spans="1:7" x14ac:dyDescent="0.3">
      <c r="A127" t="s">
        <v>7</v>
      </c>
      <c r="B127">
        <f>(COUNTIF($A$2:A127,A127)-1)*20</f>
        <v>340</v>
      </c>
      <c r="C127" s="5">
        <f t="shared" si="10"/>
        <v>5.1999999999998716E-4</v>
      </c>
      <c r="D127">
        <v>2.0333000000000001</v>
      </c>
      <c r="E127" s="1">
        <f t="shared" si="11"/>
        <v>0.56319444444444433</v>
      </c>
      <c r="F127" s="3">
        <v>46120</v>
      </c>
    </row>
    <row r="128" spans="1:7" x14ac:dyDescent="0.3">
      <c r="A128" t="s">
        <v>1</v>
      </c>
      <c r="B128">
        <f>(COUNTIF($A$2:A128,A128)-1)*20</f>
        <v>360</v>
      </c>
      <c r="C128" s="5">
        <f t="shared" si="10"/>
        <v>1.0700000000000154E-3</v>
      </c>
      <c r="D128">
        <v>2.7776999999999998</v>
      </c>
      <c r="E128" s="1">
        <f t="shared" si="11"/>
        <v>0.5694444444444442</v>
      </c>
      <c r="F128" s="3">
        <v>46120</v>
      </c>
      <c r="G128" s="7"/>
    </row>
    <row r="129" spans="1:7" x14ac:dyDescent="0.3">
      <c r="A129" t="s">
        <v>2</v>
      </c>
      <c r="B129">
        <f>(COUNTIF($A$2:A129,A129)-1)*20</f>
        <v>360</v>
      </c>
      <c r="C129" s="5">
        <f t="shared" si="10"/>
        <v>4.7499999999998097E-4</v>
      </c>
      <c r="D129">
        <v>2.3854000000000002</v>
      </c>
      <c r="E129" s="1">
        <f t="shared" si="11"/>
        <v>0.57013888888888864</v>
      </c>
      <c r="F129" s="3">
        <v>46120</v>
      </c>
    </row>
    <row r="130" spans="1:7" x14ac:dyDescent="0.3">
      <c r="A130" t="s">
        <v>3</v>
      </c>
      <c r="B130">
        <f>(COUNTIF($A$2:A130,A130)-1)*20</f>
        <v>360</v>
      </c>
      <c r="C130" s="5">
        <f t="shared" si="10"/>
        <v>6.6000000000001615E-4</v>
      </c>
      <c r="D130">
        <v>2.3277999999999999</v>
      </c>
      <c r="E130" s="1">
        <f t="shared" si="11"/>
        <v>0.57083333333333308</v>
      </c>
      <c r="F130" s="3">
        <v>46120</v>
      </c>
      <c r="G130" s="7"/>
    </row>
    <row r="131" spans="1:7" x14ac:dyDescent="0.3">
      <c r="A131" t="s">
        <v>4</v>
      </c>
      <c r="B131">
        <f>(COUNTIF($A$2:A131,A131)-1)*20</f>
        <v>360</v>
      </c>
      <c r="C131" s="5">
        <f t="shared" si="10"/>
        <v>7.1499999999999895E-4</v>
      </c>
      <c r="D131">
        <v>2.3908999999999998</v>
      </c>
      <c r="E131" s="1">
        <f t="shared" si="11"/>
        <v>0.57291666666666641</v>
      </c>
      <c r="F131" s="3">
        <v>46120</v>
      </c>
    </row>
    <row r="132" spans="1:7" x14ac:dyDescent="0.3">
      <c r="A132" t="s">
        <v>5</v>
      </c>
      <c r="B132">
        <f>(COUNTIF($A$2:A132,A132)-1)*20</f>
        <v>360</v>
      </c>
      <c r="C132" s="5">
        <f t="shared" si="10"/>
        <v>6.049999999999889E-4</v>
      </c>
      <c r="D132">
        <v>2.6572</v>
      </c>
      <c r="E132" s="1">
        <f t="shared" si="11"/>
        <v>0.57361111111111085</v>
      </c>
      <c r="F132" s="3">
        <v>46120</v>
      </c>
    </row>
    <row r="133" spans="1:7" x14ac:dyDescent="0.3">
      <c r="A133" t="s">
        <v>6</v>
      </c>
      <c r="B133">
        <f>(COUNTIF($A$2:A133,A133)-1)*20</f>
        <v>360</v>
      </c>
      <c r="C133" s="5">
        <f t="shared" si="10"/>
        <v>8.5500000000000571E-4</v>
      </c>
      <c r="D133">
        <v>2.6069</v>
      </c>
      <c r="E133" s="1">
        <f t="shared" si="11"/>
        <v>0.57638888888888873</v>
      </c>
      <c r="F133" s="3">
        <v>46120</v>
      </c>
    </row>
    <row r="134" spans="1:7" x14ac:dyDescent="0.3">
      <c r="A134" t="s">
        <v>7</v>
      </c>
      <c r="B134">
        <f>(COUNTIF($A$2:A134,A134)-1)*20</f>
        <v>360</v>
      </c>
      <c r="C134" s="5">
        <f t="shared" si="10"/>
        <v>4.750000000000032E-4</v>
      </c>
      <c r="D134">
        <v>2.0238</v>
      </c>
      <c r="E134" s="1">
        <f t="shared" si="11"/>
        <v>0.57708333333333317</v>
      </c>
      <c r="F134" s="3">
        <v>46120</v>
      </c>
    </row>
    <row r="135" spans="1:7" x14ac:dyDescent="0.3">
      <c r="A135" t="s">
        <v>1</v>
      </c>
      <c r="B135">
        <f>(COUNTIF($A$2:A135,A135)-1)*20</f>
        <v>380</v>
      </c>
      <c r="C135" s="5">
        <f t="shared" ref="C135:C140" si="12">(D128-D135)/20</f>
        <v>1.3149999999999995E-3</v>
      </c>
      <c r="D135">
        <v>2.7513999999999998</v>
      </c>
      <c r="E135" s="1">
        <f t="shared" si="11"/>
        <v>0.58333333333333304</v>
      </c>
      <c r="F135" s="3">
        <v>46120</v>
      </c>
      <c r="G135" s="7"/>
    </row>
    <row r="136" spans="1:7" x14ac:dyDescent="0.3">
      <c r="A136" t="s">
        <v>2</v>
      </c>
      <c r="B136">
        <f>(COUNTIF($A$2:A136,A136)-1)*20</f>
        <v>380</v>
      </c>
      <c r="C136" s="5">
        <f t="shared" si="12"/>
        <v>5.1000000000001044E-4</v>
      </c>
      <c r="D136">
        <v>2.3752</v>
      </c>
      <c r="E136" s="1">
        <f t="shared" si="11"/>
        <v>0.58402777777777748</v>
      </c>
      <c r="F136" s="3">
        <v>46120</v>
      </c>
    </row>
    <row r="137" spans="1:7" x14ac:dyDescent="0.3">
      <c r="A137" t="s">
        <v>3</v>
      </c>
      <c r="B137">
        <f>(COUNTIF($A$2:A137,A137)-1)*20</f>
        <v>380</v>
      </c>
      <c r="C137" s="5">
        <f t="shared" si="12"/>
        <v>6.8999999999999064E-4</v>
      </c>
      <c r="D137">
        <v>2.3140000000000001</v>
      </c>
      <c r="E137" s="1">
        <f t="shared" si="11"/>
        <v>0.58472222222222192</v>
      </c>
      <c r="F137" s="3">
        <v>46120</v>
      </c>
      <c r="G137" s="7"/>
    </row>
    <row r="138" spans="1:7" x14ac:dyDescent="0.3">
      <c r="A138" t="s">
        <v>4</v>
      </c>
      <c r="B138">
        <f>(COUNTIF($A$2:A138,A138)-1)*20</f>
        <v>380</v>
      </c>
      <c r="C138" s="5">
        <f t="shared" si="12"/>
        <v>7.3999999999998514E-4</v>
      </c>
      <c r="D138">
        <v>2.3761000000000001</v>
      </c>
      <c r="E138" s="1">
        <f t="shared" si="11"/>
        <v>0.58680555555555525</v>
      </c>
      <c r="F138" s="3">
        <v>46120</v>
      </c>
    </row>
    <row r="139" spans="1:7" x14ac:dyDescent="0.3">
      <c r="A139" t="s">
        <v>5</v>
      </c>
      <c r="B139">
        <f>(COUNTIF($A$2:A139,A139)-1)*20</f>
        <v>380</v>
      </c>
      <c r="C139" s="5">
        <f t="shared" si="12"/>
        <v>6.0999999999999943E-4</v>
      </c>
      <c r="D139">
        <v>2.645</v>
      </c>
      <c r="E139" s="1">
        <f t="shared" si="11"/>
        <v>0.58749999999999969</v>
      </c>
      <c r="F139" s="3">
        <v>46120</v>
      </c>
    </row>
    <row r="140" spans="1:7" x14ac:dyDescent="0.3">
      <c r="A140" t="s">
        <v>6</v>
      </c>
      <c r="B140">
        <f>(COUNTIF($A$2:A140,A140)-1)*20</f>
        <v>380</v>
      </c>
      <c r="C140" s="5">
        <f t="shared" si="12"/>
        <v>8.750000000000036E-4</v>
      </c>
      <c r="D140">
        <v>2.5893999999999999</v>
      </c>
      <c r="E140" s="1">
        <f t="shared" si="11"/>
        <v>0.59027777777777757</v>
      </c>
      <c r="F140" s="3">
        <v>46120</v>
      </c>
    </row>
    <row r="141" spans="1:7" x14ac:dyDescent="0.3">
      <c r="A141" t="s">
        <v>7</v>
      </c>
      <c r="B141">
        <f>(COUNTIF($A$2:A141,A141)-1)*20</f>
        <v>380</v>
      </c>
      <c r="C141" s="5">
        <f>(D134-D141)/20</f>
        <v>5.1499999999999875E-4</v>
      </c>
      <c r="D141">
        <v>2.0135000000000001</v>
      </c>
      <c r="E141" s="1">
        <f t="shared" si="11"/>
        <v>0.59097222222222201</v>
      </c>
      <c r="F141" s="3">
        <v>46120</v>
      </c>
    </row>
    <row r="142" spans="1:7" x14ac:dyDescent="0.3">
      <c r="A142" t="s">
        <v>1</v>
      </c>
      <c r="B142">
        <f>(COUNTIF($A$2:A142,A142)-1)*20</f>
        <v>400</v>
      </c>
      <c r="C142" s="5">
        <f t="shared" ref="C142:C148" si="13">(D135-D142)/20</f>
        <v>1.254999999999984E-3</v>
      </c>
      <c r="D142">
        <v>2.7263000000000002</v>
      </c>
      <c r="E142" s="1">
        <f t="shared" si="11"/>
        <v>0.59722222222222188</v>
      </c>
      <c r="F142" s="3">
        <v>46120</v>
      </c>
      <c r="G142" s="7"/>
    </row>
    <row r="143" spans="1:7" x14ac:dyDescent="0.3">
      <c r="A143" t="s">
        <v>2</v>
      </c>
      <c r="B143">
        <f>(COUNTIF($A$2:A143,A143)-1)*20</f>
        <v>400</v>
      </c>
      <c r="C143" s="5">
        <f t="shared" si="13"/>
        <v>5.4000000000000716E-4</v>
      </c>
      <c r="D143">
        <v>2.3643999999999998</v>
      </c>
      <c r="E143" s="1">
        <f t="shared" si="11"/>
        <v>0.59791666666666632</v>
      </c>
      <c r="F143" s="3">
        <v>46120</v>
      </c>
    </row>
    <row r="144" spans="1:7" x14ac:dyDescent="0.3">
      <c r="A144" t="s">
        <v>3</v>
      </c>
      <c r="B144">
        <f>(COUNTIF($A$2:A144,A144)-1)*20</f>
        <v>400</v>
      </c>
      <c r="C144" s="5">
        <f t="shared" si="13"/>
        <v>7.8500000000001344E-4</v>
      </c>
      <c r="D144">
        <v>2.2982999999999998</v>
      </c>
      <c r="E144" s="1">
        <f t="shared" si="11"/>
        <v>0.59861111111111076</v>
      </c>
      <c r="F144" s="3">
        <v>46120</v>
      </c>
      <c r="G144" s="7"/>
    </row>
    <row r="145" spans="1:6" x14ac:dyDescent="0.3">
      <c r="A145" t="s">
        <v>4</v>
      </c>
      <c r="B145">
        <f>(COUNTIF($A$2:A145,A145)-1)*20</f>
        <v>400</v>
      </c>
      <c r="C145" s="5">
        <f t="shared" si="13"/>
        <v>7.2000000000000948E-4</v>
      </c>
      <c r="D145">
        <v>2.3616999999999999</v>
      </c>
      <c r="E145" s="1">
        <f t="shared" si="11"/>
        <v>0.60069444444444409</v>
      </c>
      <c r="F145" s="3">
        <v>46120</v>
      </c>
    </row>
    <row r="146" spans="1:6" x14ac:dyDescent="0.3">
      <c r="A146" t="s">
        <v>5</v>
      </c>
      <c r="B146">
        <f>(COUNTIF($A$2:A146,A146)-1)*20</f>
        <v>400</v>
      </c>
      <c r="C146" s="5">
        <f t="shared" si="13"/>
        <v>6.1999999999999837E-4</v>
      </c>
      <c r="D146">
        <v>2.6326000000000001</v>
      </c>
      <c r="E146" s="1">
        <f t="shared" si="11"/>
        <v>0.60138888888888853</v>
      </c>
      <c r="F146" s="3">
        <v>46120</v>
      </c>
    </row>
    <row r="147" spans="1:6" x14ac:dyDescent="0.3">
      <c r="A147" t="s">
        <v>6</v>
      </c>
      <c r="B147">
        <f>(COUNTIF($A$2:A147,A147)-1)*20</f>
        <v>400</v>
      </c>
      <c r="C147" s="5">
        <f t="shared" si="13"/>
        <v>7.3499999999999672E-4</v>
      </c>
      <c r="D147">
        <v>2.5747</v>
      </c>
      <c r="E147" s="1">
        <f t="shared" si="11"/>
        <v>0.60416666666666641</v>
      </c>
      <c r="F147" s="3">
        <v>46120</v>
      </c>
    </row>
    <row r="148" spans="1:6" x14ac:dyDescent="0.3">
      <c r="A148" t="s">
        <v>7</v>
      </c>
      <c r="B148">
        <f>(COUNTIF($A$2:A148,A148)-1)*20</f>
        <v>400</v>
      </c>
      <c r="C148" s="5">
        <f t="shared" si="13"/>
        <v>4.8000000000001373E-4</v>
      </c>
      <c r="D148">
        <v>2.0038999999999998</v>
      </c>
      <c r="E148" s="1">
        <f t="shared" si="11"/>
        <v>0.60486111111111085</v>
      </c>
      <c r="F148" s="3">
        <v>46120</v>
      </c>
    </row>
    <row r="149" spans="1:6" x14ac:dyDescent="0.3">
      <c r="A149" t="s">
        <v>12</v>
      </c>
      <c r="B149">
        <v>0</v>
      </c>
      <c r="C149" s="5">
        <v>4.4499999999999982E-3</v>
      </c>
      <c r="D149">
        <v>2.7172000000000001</v>
      </c>
      <c r="E149" s="1">
        <v>0.32916666666666666</v>
      </c>
      <c r="F149" s="3">
        <v>46122</v>
      </c>
    </row>
    <row r="150" spans="1:6" x14ac:dyDescent="0.3">
      <c r="A150" t="s">
        <v>13</v>
      </c>
      <c r="B150">
        <v>0</v>
      </c>
      <c r="C150" s="5">
        <v>5.2549999999999654E-3</v>
      </c>
      <c r="D150">
        <v>4.6805000000000003</v>
      </c>
      <c r="E150" s="1">
        <v>0.33055555555555555</v>
      </c>
      <c r="F150" s="3">
        <v>46122</v>
      </c>
    </row>
    <row r="151" spans="1:6" x14ac:dyDescent="0.3">
      <c r="A151" t="s">
        <v>14</v>
      </c>
      <c r="B151">
        <v>0</v>
      </c>
      <c r="C151" s="5">
        <v>4.8350000000000112E-3</v>
      </c>
      <c r="D151">
        <v>3.1541999999999999</v>
      </c>
      <c r="E151" s="1">
        <v>0.33055555555555555</v>
      </c>
      <c r="F151" s="3">
        <v>46122</v>
      </c>
    </row>
    <row r="152" spans="1:6" x14ac:dyDescent="0.3">
      <c r="A152" t="s">
        <v>15</v>
      </c>
      <c r="B152">
        <v>0</v>
      </c>
      <c r="C152" s="5">
        <v>3.094999999999981E-3</v>
      </c>
      <c r="D152">
        <v>2.6152000000000002</v>
      </c>
      <c r="E152" s="1">
        <v>0.33472222222222225</v>
      </c>
      <c r="F152" s="3">
        <v>46122</v>
      </c>
    </row>
    <row r="153" spans="1:6" x14ac:dyDescent="0.3">
      <c r="A153" t="s">
        <v>16</v>
      </c>
      <c r="B153">
        <v>0</v>
      </c>
      <c r="C153" s="5">
        <v>2.0649999999999835E-3</v>
      </c>
      <c r="D153">
        <v>2.4081000000000001</v>
      </c>
      <c r="E153" s="1">
        <v>0.33680555555555558</v>
      </c>
      <c r="F153" s="3">
        <v>46122</v>
      </c>
    </row>
    <row r="154" spans="1:6" x14ac:dyDescent="0.3">
      <c r="A154" t="s">
        <v>17</v>
      </c>
      <c r="B154">
        <v>0</v>
      </c>
      <c r="C154" s="5">
        <v>3.2799999999999939E-3</v>
      </c>
      <c r="D154">
        <v>3.62</v>
      </c>
      <c r="E154" s="1">
        <v>0.33819444444444446</v>
      </c>
      <c r="F154" s="3">
        <v>46122</v>
      </c>
    </row>
    <row r="155" spans="1:6" x14ac:dyDescent="0.3">
      <c r="A155" t="s">
        <v>18</v>
      </c>
      <c r="B155">
        <v>0</v>
      </c>
      <c r="C155" s="5">
        <v>2.8149999999999898E-3</v>
      </c>
      <c r="D155">
        <v>2.9916</v>
      </c>
      <c r="E155" s="1">
        <v>0.33888888888888891</v>
      </c>
      <c r="F155" s="3">
        <v>46122</v>
      </c>
    </row>
    <row r="156" spans="1:6" x14ac:dyDescent="0.3">
      <c r="A156" t="s">
        <v>12</v>
      </c>
      <c r="B156">
        <v>20</v>
      </c>
      <c r="C156" s="5">
        <v>2.3600000000000066E-3</v>
      </c>
      <c r="D156">
        <v>2.67</v>
      </c>
      <c r="E156" s="1">
        <v>0.34305555555555556</v>
      </c>
      <c r="F156" s="3">
        <v>46122</v>
      </c>
    </row>
    <row r="157" spans="1:6" x14ac:dyDescent="0.3">
      <c r="A157" t="s">
        <v>13</v>
      </c>
      <c r="B157">
        <v>20</v>
      </c>
      <c r="C157" s="5">
        <v>3.4450000000000093E-3</v>
      </c>
      <c r="D157">
        <v>4.6116000000000001</v>
      </c>
      <c r="E157" s="1">
        <v>0.34444444444444444</v>
      </c>
      <c r="F157" s="3">
        <v>46122</v>
      </c>
    </row>
    <row r="158" spans="1:6" x14ac:dyDescent="0.3">
      <c r="A158" t="s">
        <v>14</v>
      </c>
      <c r="B158">
        <v>20</v>
      </c>
      <c r="C158" s="5">
        <v>3.3150000000000011E-3</v>
      </c>
      <c r="D158">
        <v>3.0878999999999999</v>
      </c>
      <c r="E158" s="1">
        <v>0.34444444444444444</v>
      </c>
      <c r="F158" s="3">
        <v>46122</v>
      </c>
    </row>
    <row r="159" spans="1:6" x14ac:dyDescent="0.3">
      <c r="A159" t="s">
        <v>15</v>
      </c>
      <c r="B159">
        <v>20</v>
      </c>
      <c r="C159" s="5">
        <v>1.0050000000000115E-3</v>
      </c>
      <c r="D159">
        <v>2.5951</v>
      </c>
      <c r="E159" s="1">
        <v>0.34861111111111115</v>
      </c>
      <c r="F159" s="3">
        <v>46122</v>
      </c>
    </row>
    <row r="160" spans="1:6" x14ac:dyDescent="0.3">
      <c r="A160" t="s">
        <v>16</v>
      </c>
      <c r="B160">
        <v>20</v>
      </c>
      <c r="C160" s="5">
        <v>1.0199999999999988E-3</v>
      </c>
      <c r="D160">
        <v>2.3877000000000002</v>
      </c>
      <c r="E160" s="1">
        <v>0.35069444444444448</v>
      </c>
      <c r="F160" s="3">
        <v>46122</v>
      </c>
    </row>
    <row r="161" spans="1:6" x14ac:dyDescent="0.3">
      <c r="A161" t="s">
        <v>17</v>
      </c>
      <c r="B161">
        <v>20</v>
      </c>
      <c r="C161" s="5">
        <v>1.705000000000001E-3</v>
      </c>
      <c r="D161">
        <v>3.5859000000000001</v>
      </c>
      <c r="E161" s="1">
        <v>0.35208333333333336</v>
      </c>
      <c r="F161" s="3">
        <v>46122</v>
      </c>
    </row>
    <row r="162" spans="1:6" x14ac:dyDescent="0.3">
      <c r="A162" t="s">
        <v>18</v>
      </c>
      <c r="B162">
        <v>20</v>
      </c>
      <c r="C162" s="5">
        <v>1.4350000000000085E-3</v>
      </c>
      <c r="D162">
        <v>2.9628999999999999</v>
      </c>
      <c r="E162" s="1">
        <v>0.3527777777777778</v>
      </c>
      <c r="F162" s="3">
        <v>46122</v>
      </c>
    </row>
    <row r="163" spans="1:6" x14ac:dyDescent="0.3">
      <c r="A163" t="s">
        <v>12</v>
      </c>
      <c r="B163">
        <v>40</v>
      </c>
      <c r="C163" s="5">
        <v>1.8550000000000066E-3</v>
      </c>
      <c r="D163">
        <v>2.6328999999999998</v>
      </c>
      <c r="E163" s="1">
        <v>0.35694444444444445</v>
      </c>
      <c r="F163" s="3">
        <v>46122</v>
      </c>
    </row>
    <row r="164" spans="1:6" x14ac:dyDescent="0.3">
      <c r="A164" t="s">
        <v>13</v>
      </c>
      <c r="B164">
        <v>40</v>
      </c>
      <c r="C164" s="5">
        <v>2.6600000000000178E-3</v>
      </c>
      <c r="D164">
        <v>4.5583999999999998</v>
      </c>
      <c r="E164" s="1">
        <v>0.35833333333333334</v>
      </c>
      <c r="F164" s="3">
        <v>46122</v>
      </c>
    </row>
    <row r="165" spans="1:6" x14ac:dyDescent="0.3">
      <c r="A165" t="s">
        <v>14</v>
      </c>
      <c r="B165">
        <v>40</v>
      </c>
      <c r="C165" s="5">
        <v>2.3949999999999918E-3</v>
      </c>
      <c r="D165">
        <v>3.04</v>
      </c>
      <c r="E165" s="1">
        <v>0.35833333333333334</v>
      </c>
      <c r="F165" s="3">
        <v>46122</v>
      </c>
    </row>
    <row r="166" spans="1:6" x14ac:dyDescent="0.3">
      <c r="A166" t="s">
        <v>15</v>
      </c>
      <c r="B166">
        <v>40</v>
      </c>
      <c r="C166" s="5">
        <v>9.6000000000000534E-4</v>
      </c>
      <c r="D166">
        <v>2.5758999999999999</v>
      </c>
      <c r="E166" s="1">
        <v>0.36250000000000004</v>
      </c>
      <c r="F166" s="3">
        <v>46122</v>
      </c>
    </row>
    <row r="167" spans="1:6" x14ac:dyDescent="0.3">
      <c r="A167" t="s">
        <v>16</v>
      </c>
      <c r="B167">
        <v>40</v>
      </c>
      <c r="C167" s="5">
        <v>1.1050000000000005E-3</v>
      </c>
      <c r="D167">
        <v>2.3656000000000001</v>
      </c>
      <c r="E167" s="1">
        <v>0.36458333333333337</v>
      </c>
      <c r="F167" s="3">
        <v>46122</v>
      </c>
    </row>
    <row r="168" spans="1:6" x14ac:dyDescent="0.3">
      <c r="A168" t="s">
        <v>17</v>
      </c>
      <c r="B168">
        <v>40</v>
      </c>
      <c r="C168" s="5">
        <v>1.7100000000000114E-3</v>
      </c>
      <c r="D168">
        <v>3.5516999999999999</v>
      </c>
      <c r="E168" s="1">
        <v>0.36597222222222225</v>
      </c>
      <c r="F168" s="3">
        <v>46122</v>
      </c>
    </row>
    <row r="169" spans="1:6" x14ac:dyDescent="0.3">
      <c r="A169" t="s">
        <v>18</v>
      </c>
      <c r="B169">
        <v>40</v>
      </c>
      <c r="C169" s="5">
        <v>1.2950000000000017E-3</v>
      </c>
      <c r="D169">
        <v>2.9369999999999998</v>
      </c>
      <c r="E169" s="1">
        <v>0.3666666666666667</v>
      </c>
      <c r="F169" s="3">
        <v>46122</v>
      </c>
    </row>
    <row r="170" spans="1:6" x14ac:dyDescent="0.3">
      <c r="A170" t="s">
        <v>12</v>
      </c>
      <c r="B170">
        <v>60</v>
      </c>
      <c r="C170" s="5">
        <v>2.0349999999999869E-3</v>
      </c>
      <c r="D170">
        <v>2.5922000000000001</v>
      </c>
      <c r="E170" s="1">
        <v>0.37083333333333335</v>
      </c>
      <c r="F170" s="3">
        <v>46122</v>
      </c>
    </row>
    <row r="171" spans="1:6" x14ac:dyDescent="0.3">
      <c r="A171" t="s">
        <v>13</v>
      </c>
      <c r="B171">
        <v>60</v>
      </c>
      <c r="C171" s="5">
        <v>2.8599999999999958E-3</v>
      </c>
      <c r="D171">
        <v>4.5011999999999999</v>
      </c>
      <c r="E171" s="1">
        <v>0.37222222222222223</v>
      </c>
      <c r="F171" s="3">
        <v>46122</v>
      </c>
    </row>
    <row r="172" spans="1:6" x14ac:dyDescent="0.3">
      <c r="A172" t="s">
        <v>14</v>
      </c>
      <c r="B172">
        <v>60</v>
      </c>
      <c r="C172" s="5">
        <v>2.3800000000000045E-3</v>
      </c>
      <c r="D172">
        <v>2.9923999999999999</v>
      </c>
      <c r="E172" s="1">
        <v>0.37222222222222223</v>
      </c>
      <c r="F172" s="3">
        <v>46122</v>
      </c>
    </row>
    <row r="173" spans="1:6" x14ac:dyDescent="0.3">
      <c r="A173" t="s">
        <v>15</v>
      </c>
      <c r="B173">
        <v>60</v>
      </c>
      <c r="C173" s="5">
        <v>9.4499999999999587E-4</v>
      </c>
      <c r="D173">
        <v>2.5569999999999999</v>
      </c>
      <c r="E173" s="1">
        <v>0.37638888888888894</v>
      </c>
      <c r="F173" s="3">
        <v>46122</v>
      </c>
    </row>
    <row r="174" spans="1:6" x14ac:dyDescent="0.3">
      <c r="A174" t="s">
        <v>16</v>
      </c>
      <c r="B174">
        <v>60</v>
      </c>
      <c r="C174" s="5">
        <v>8.7000000000001518E-4</v>
      </c>
      <c r="D174">
        <v>2.3481999999999998</v>
      </c>
      <c r="E174" s="1">
        <v>0.37847222222222227</v>
      </c>
      <c r="F174" s="3">
        <v>46122</v>
      </c>
    </row>
    <row r="175" spans="1:6" x14ac:dyDescent="0.3">
      <c r="A175" t="s">
        <v>17</v>
      </c>
      <c r="B175">
        <v>60</v>
      </c>
      <c r="C175" s="5">
        <v>1.5800000000000037E-3</v>
      </c>
      <c r="D175">
        <v>3.5200999999999998</v>
      </c>
      <c r="E175" s="1">
        <v>0.37986111111111115</v>
      </c>
      <c r="F175" s="3">
        <v>46122</v>
      </c>
    </row>
    <row r="176" spans="1:6" x14ac:dyDescent="0.3">
      <c r="A176" t="s">
        <v>18</v>
      </c>
      <c r="B176">
        <v>60</v>
      </c>
      <c r="C176" s="5">
        <v>1.0749999999999816E-3</v>
      </c>
      <c r="D176">
        <v>2.9155000000000002</v>
      </c>
      <c r="E176" s="1">
        <v>0.38055555555555559</v>
      </c>
      <c r="F176" s="3">
        <v>46122</v>
      </c>
    </row>
    <row r="177" spans="1:6" x14ac:dyDescent="0.3">
      <c r="A177" t="s">
        <v>12</v>
      </c>
      <c r="B177">
        <v>80</v>
      </c>
      <c r="C177" s="5">
        <v>1.8100000000000004E-3</v>
      </c>
      <c r="D177">
        <v>2.556</v>
      </c>
      <c r="E177" s="1">
        <v>0.38472222222222224</v>
      </c>
      <c r="F177" s="3">
        <v>46122</v>
      </c>
    </row>
    <row r="178" spans="1:6" x14ac:dyDescent="0.3">
      <c r="A178" t="s">
        <v>13</v>
      </c>
      <c r="B178">
        <v>80</v>
      </c>
      <c r="C178" s="5">
        <v>2.9599999999999848E-3</v>
      </c>
      <c r="D178">
        <v>4.4420000000000002</v>
      </c>
      <c r="E178" s="1">
        <v>0.38611111111111113</v>
      </c>
      <c r="F178" s="3">
        <v>46122</v>
      </c>
    </row>
    <row r="179" spans="1:6" x14ac:dyDescent="0.3">
      <c r="A179" t="s">
        <v>14</v>
      </c>
      <c r="B179">
        <v>80</v>
      </c>
      <c r="C179" s="5">
        <v>2.0799999999999929E-3</v>
      </c>
      <c r="D179">
        <v>2.9508000000000001</v>
      </c>
      <c r="E179" s="1">
        <v>0.38611111111111113</v>
      </c>
      <c r="F179" s="3">
        <v>46122</v>
      </c>
    </row>
    <row r="180" spans="1:6" x14ac:dyDescent="0.3">
      <c r="A180" t="s">
        <v>15</v>
      </c>
      <c r="B180">
        <v>80</v>
      </c>
      <c r="C180" s="5">
        <v>1.0299999999999975E-3</v>
      </c>
      <c r="D180">
        <v>2.5364</v>
      </c>
      <c r="E180" s="1">
        <v>0.39027777777777783</v>
      </c>
      <c r="F180" s="3">
        <v>46122</v>
      </c>
    </row>
    <row r="181" spans="1:6" x14ac:dyDescent="0.3">
      <c r="A181" t="s">
        <v>16</v>
      </c>
      <c r="B181">
        <v>80</v>
      </c>
      <c r="C181" s="5">
        <v>9.9499999999999025E-4</v>
      </c>
      <c r="D181">
        <v>2.3283</v>
      </c>
      <c r="E181" s="1">
        <v>0.39236111111111116</v>
      </c>
      <c r="F181" s="3">
        <v>46122</v>
      </c>
    </row>
    <row r="182" spans="1:6" x14ac:dyDescent="0.3">
      <c r="A182" t="s">
        <v>17</v>
      </c>
      <c r="B182">
        <v>80</v>
      </c>
      <c r="C182" s="5">
        <v>1.5749999999999931E-3</v>
      </c>
      <c r="D182">
        <v>3.4885999999999999</v>
      </c>
      <c r="E182" s="1">
        <v>0.39375000000000004</v>
      </c>
      <c r="F182" s="3">
        <v>46122</v>
      </c>
    </row>
    <row r="183" spans="1:6" x14ac:dyDescent="0.3">
      <c r="A183" t="s">
        <v>18</v>
      </c>
      <c r="B183">
        <v>80</v>
      </c>
      <c r="C183" s="5">
        <v>1.0350000000000081E-3</v>
      </c>
      <c r="D183">
        <v>2.8948</v>
      </c>
      <c r="E183" s="1">
        <v>0.39444444444444449</v>
      </c>
      <c r="F183" s="3">
        <v>46122</v>
      </c>
    </row>
    <row r="184" spans="1:6" x14ac:dyDescent="0.3">
      <c r="A184" t="s">
        <v>12</v>
      </c>
      <c r="B184">
        <v>100</v>
      </c>
      <c r="C184" s="5">
        <v>1.7000000000000127E-3</v>
      </c>
      <c r="D184">
        <v>2.5219999999999998</v>
      </c>
      <c r="E184" s="1">
        <v>0.39861111111111114</v>
      </c>
      <c r="F184" s="3">
        <v>46122</v>
      </c>
    </row>
    <row r="185" spans="1:6" x14ac:dyDescent="0.3">
      <c r="A185" t="s">
        <v>13</v>
      </c>
      <c r="B185">
        <v>100</v>
      </c>
      <c r="C185" s="5">
        <v>3.8300000000000001E-3</v>
      </c>
      <c r="D185">
        <v>4.3654000000000002</v>
      </c>
      <c r="E185" s="1">
        <v>0.4</v>
      </c>
      <c r="F185" s="3">
        <v>46122</v>
      </c>
    </row>
    <row r="186" spans="1:6" x14ac:dyDescent="0.3">
      <c r="A186" t="s">
        <v>14</v>
      </c>
      <c r="B186">
        <v>100</v>
      </c>
      <c r="C186" s="5">
        <v>2.134999999999998E-3</v>
      </c>
      <c r="D186">
        <v>2.9081000000000001</v>
      </c>
      <c r="E186" s="1">
        <v>0.4</v>
      </c>
      <c r="F186" s="3">
        <v>46122</v>
      </c>
    </row>
    <row r="187" spans="1:6" x14ac:dyDescent="0.3">
      <c r="A187" t="s">
        <v>15</v>
      </c>
      <c r="B187">
        <v>100</v>
      </c>
      <c r="C187" s="5">
        <v>8.4500000000000688E-4</v>
      </c>
      <c r="D187">
        <v>2.5194999999999999</v>
      </c>
      <c r="E187" s="1">
        <v>0.40416666666666673</v>
      </c>
      <c r="F187" s="3">
        <v>46122</v>
      </c>
    </row>
    <row r="188" spans="1:6" x14ac:dyDescent="0.3">
      <c r="A188" t="s">
        <v>16</v>
      </c>
      <c r="B188">
        <v>100</v>
      </c>
      <c r="C188" s="5">
        <v>8.8999999999999084E-4</v>
      </c>
      <c r="D188">
        <v>2.3105000000000002</v>
      </c>
      <c r="E188" s="1">
        <v>0.40625000000000006</v>
      </c>
      <c r="F188" s="3">
        <v>46122</v>
      </c>
    </row>
    <row r="189" spans="1:6" x14ac:dyDescent="0.3">
      <c r="A189" t="s">
        <v>17</v>
      </c>
      <c r="B189">
        <v>100</v>
      </c>
      <c r="C189" s="5">
        <v>1.6349999999999865E-3</v>
      </c>
      <c r="D189">
        <v>3.4559000000000002</v>
      </c>
      <c r="E189" s="1">
        <v>0.40763888888888894</v>
      </c>
      <c r="F189" s="3">
        <v>46122</v>
      </c>
    </row>
    <row r="190" spans="1:6" x14ac:dyDescent="0.3">
      <c r="A190" t="s">
        <v>18</v>
      </c>
      <c r="B190">
        <v>100</v>
      </c>
      <c r="C190" s="5">
        <v>9.1000000000001084E-4</v>
      </c>
      <c r="D190">
        <v>2.8765999999999998</v>
      </c>
      <c r="E190" s="1">
        <v>0.40833333333333338</v>
      </c>
      <c r="F190" s="3">
        <v>46122</v>
      </c>
    </row>
    <row r="191" spans="1:6" x14ac:dyDescent="0.3">
      <c r="A191" t="s">
        <v>12</v>
      </c>
      <c r="B191">
        <v>120</v>
      </c>
      <c r="C191" s="5">
        <v>1.6999999999999904E-3</v>
      </c>
      <c r="D191">
        <v>2.488</v>
      </c>
      <c r="E191" s="1">
        <v>0.41250000000000003</v>
      </c>
      <c r="F191" s="3">
        <v>46122</v>
      </c>
    </row>
    <row r="192" spans="1:6" x14ac:dyDescent="0.3">
      <c r="A192" t="s">
        <v>13</v>
      </c>
      <c r="B192">
        <v>120</v>
      </c>
      <c r="C192" s="5">
        <v>2.9850000000000154E-3</v>
      </c>
      <c r="D192">
        <v>4.3056999999999999</v>
      </c>
      <c r="E192" s="1">
        <v>0.41388888888888892</v>
      </c>
      <c r="F192" s="3">
        <v>46122</v>
      </c>
    </row>
    <row r="193" spans="1:6" x14ac:dyDescent="0.3">
      <c r="A193" t="s">
        <v>14</v>
      </c>
      <c r="B193">
        <v>120</v>
      </c>
      <c r="C193" s="5">
        <v>2.0100000000000005E-3</v>
      </c>
      <c r="D193">
        <v>2.8679000000000001</v>
      </c>
      <c r="E193" s="1">
        <v>0.41388888888888892</v>
      </c>
      <c r="F193" s="3">
        <v>46122</v>
      </c>
    </row>
    <row r="194" spans="1:6" x14ac:dyDescent="0.3">
      <c r="A194" t="s">
        <v>15</v>
      </c>
      <c r="B194">
        <v>120</v>
      </c>
      <c r="C194" s="5">
        <v>8.9500000000000137E-4</v>
      </c>
      <c r="D194">
        <v>2.5015999999999998</v>
      </c>
      <c r="E194" s="1">
        <v>0.41805555555555562</v>
      </c>
      <c r="F194" s="3">
        <v>46122</v>
      </c>
    </row>
    <row r="195" spans="1:6" x14ac:dyDescent="0.3">
      <c r="A195" t="s">
        <v>16</v>
      </c>
      <c r="B195">
        <v>120</v>
      </c>
      <c r="C195" s="5">
        <v>9.3000000000000862E-4</v>
      </c>
      <c r="D195">
        <v>2.2919</v>
      </c>
      <c r="E195" s="1">
        <v>0.42013888888888895</v>
      </c>
      <c r="F195" s="3">
        <v>46122</v>
      </c>
    </row>
    <row r="196" spans="1:6" x14ac:dyDescent="0.3">
      <c r="A196" t="s">
        <v>17</v>
      </c>
      <c r="B196">
        <v>120</v>
      </c>
      <c r="C196" s="5">
        <v>1.5700000000000048E-3</v>
      </c>
      <c r="D196">
        <v>3.4245000000000001</v>
      </c>
      <c r="E196" s="1">
        <v>0.42152777777777783</v>
      </c>
      <c r="F196" s="3">
        <v>46122</v>
      </c>
    </row>
    <row r="197" spans="1:6" x14ac:dyDescent="0.3">
      <c r="A197" t="s">
        <v>18</v>
      </c>
      <c r="B197">
        <v>120</v>
      </c>
      <c r="C197" s="5">
        <v>9.1999999999998745E-4</v>
      </c>
      <c r="D197">
        <v>2.8582000000000001</v>
      </c>
      <c r="E197" s="1">
        <v>0.42222222222222228</v>
      </c>
      <c r="F197" s="3">
        <v>46122</v>
      </c>
    </row>
    <row r="198" spans="1:6" x14ac:dyDescent="0.3">
      <c r="A198" t="s">
        <v>12</v>
      </c>
      <c r="B198">
        <v>140</v>
      </c>
      <c r="C198" s="5">
        <v>1.6049999999999897E-3</v>
      </c>
      <c r="D198">
        <v>2.4559000000000002</v>
      </c>
      <c r="E198" s="1">
        <v>0.42638888888888893</v>
      </c>
      <c r="F198" s="3">
        <v>46122</v>
      </c>
    </row>
    <row r="199" spans="1:6" x14ac:dyDescent="0.3">
      <c r="A199" t="s">
        <v>13</v>
      </c>
      <c r="B199">
        <v>140</v>
      </c>
      <c r="C199" s="5">
        <v>2.6549999999999851E-3</v>
      </c>
      <c r="D199">
        <v>4.2526000000000002</v>
      </c>
      <c r="E199" s="1">
        <v>0.42777777777777781</v>
      </c>
      <c r="F199" s="3">
        <v>46122</v>
      </c>
    </row>
    <row r="200" spans="1:6" x14ac:dyDescent="0.3">
      <c r="A200" t="s">
        <v>14</v>
      </c>
      <c r="B200">
        <v>140</v>
      </c>
      <c r="C200" s="5">
        <v>4.0000000000000034E-4</v>
      </c>
      <c r="D200">
        <v>2.8599000000000001</v>
      </c>
      <c r="E200" s="1">
        <v>0.42777777777777781</v>
      </c>
      <c r="F200" s="3">
        <v>46122</v>
      </c>
    </row>
    <row r="201" spans="1:6" x14ac:dyDescent="0.3">
      <c r="A201" t="s">
        <v>15</v>
      </c>
      <c r="B201">
        <v>140</v>
      </c>
      <c r="C201" s="5">
        <v>8.8999999999999084E-4</v>
      </c>
      <c r="D201">
        <v>2.4838</v>
      </c>
      <c r="E201" s="1">
        <v>0.43194444444444452</v>
      </c>
      <c r="F201" s="3">
        <v>46122</v>
      </c>
    </row>
    <row r="202" spans="1:6" x14ac:dyDescent="0.3">
      <c r="A202" t="s">
        <v>16</v>
      </c>
      <c r="B202">
        <v>140</v>
      </c>
      <c r="C202" s="5">
        <v>8.2999999999999741E-4</v>
      </c>
      <c r="D202">
        <v>2.2753000000000001</v>
      </c>
      <c r="E202" s="1">
        <v>0.43402777777777785</v>
      </c>
      <c r="F202" s="3">
        <v>46122</v>
      </c>
    </row>
    <row r="203" spans="1:6" x14ac:dyDescent="0.3">
      <c r="A203" t="s">
        <v>17</v>
      </c>
      <c r="B203">
        <v>140</v>
      </c>
      <c r="C203" s="5">
        <v>1.6450000000000076E-3</v>
      </c>
      <c r="D203">
        <v>3.3915999999999999</v>
      </c>
      <c r="E203" s="1">
        <v>0.43541666666666673</v>
      </c>
      <c r="F203" s="3">
        <v>46122</v>
      </c>
    </row>
    <row r="204" spans="1:6" x14ac:dyDescent="0.3">
      <c r="A204" t="s">
        <v>18</v>
      </c>
      <c r="B204">
        <v>140</v>
      </c>
      <c r="C204" s="5">
        <v>8.750000000000036E-4</v>
      </c>
      <c r="D204">
        <v>2.8407</v>
      </c>
      <c r="E204" s="1">
        <v>0.43611111111111117</v>
      </c>
      <c r="F204" s="3">
        <v>46122</v>
      </c>
    </row>
    <row r="205" spans="1:6" x14ac:dyDescent="0.3">
      <c r="A205" t="s">
        <v>12</v>
      </c>
      <c r="B205">
        <v>160</v>
      </c>
      <c r="C205" s="5">
        <v>1.4050000000000117E-3</v>
      </c>
      <c r="D205">
        <v>2.4278</v>
      </c>
      <c r="E205" s="1">
        <v>0.44027777777777782</v>
      </c>
      <c r="F205" s="3">
        <v>46122</v>
      </c>
    </row>
    <row r="206" spans="1:6" x14ac:dyDescent="0.3">
      <c r="A206" t="s">
        <v>13</v>
      </c>
      <c r="B206">
        <v>160</v>
      </c>
      <c r="C206" s="5">
        <v>2.2499999999999964E-3</v>
      </c>
      <c r="D206">
        <v>4.2076000000000002</v>
      </c>
      <c r="E206" s="1">
        <v>0.44166666666666671</v>
      </c>
      <c r="F206" s="3">
        <v>46122</v>
      </c>
    </row>
    <row r="207" spans="1:6" x14ac:dyDescent="0.3">
      <c r="A207" t="s">
        <v>14</v>
      </c>
      <c r="B207">
        <v>160</v>
      </c>
      <c r="C207" s="5">
        <v>3.1800000000000049E-3</v>
      </c>
      <c r="D207">
        <v>2.7963</v>
      </c>
      <c r="E207" s="1">
        <v>0.44166666666666671</v>
      </c>
      <c r="F207" s="3">
        <v>46122</v>
      </c>
    </row>
    <row r="208" spans="1:6" x14ac:dyDescent="0.3">
      <c r="A208" t="s">
        <v>15</v>
      </c>
      <c r="B208">
        <v>160</v>
      </c>
      <c r="C208" s="5">
        <v>9.7000000000000417E-4</v>
      </c>
      <c r="D208">
        <v>2.4643999999999999</v>
      </c>
      <c r="E208" s="1">
        <v>0.44583333333333341</v>
      </c>
      <c r="F208" s="3">
        <v>46122</v>
      </c>
    </row>
    <row r="209" spans="1:6" x14ac:dyDescent="0.3">
      <c r="A209" t="s">
        <v>16</v>
      </c>
      <c r="B209">
        <v>160</v>
      </c>
      <c r="C209" s="5">
        <v>9.2000000000000968E-4</v>
      </c>
      <c r="D209">
        <v>2.2568999999999999</v>
      </c>
      <c r="E209" s="1">
        <v>0.44791666666666674</v>
      </c>
      <c r="F209" s="3">
        <v>46122</v>
      </c>
    </row>
    <row r="210" spans="1:6" x14ac:dyDescent="0.3">
      <c r="A210" t="s">
        <v>17</v>
      </c>
      <c r="B210">
        <v>160</v>
      </c>
      <c r="C210" s="5">
        <v>1.495000000000002E-3</v>
      </c>
      <c r="D210">
        <v>3.3616999999999999</v>
      </c>
      <c r="E210" s="1">
        <v>0.44930555555555562</v>
      </c>
      <c r="F210" s="3">
        <v>46122</v>
      </c>
    </row>
    <row r="211" spans="1:6" x14ac:dyDescent="0.3">
      <c r="A211" t="s">
        <v>18</v>
      </c>
      <c r="B211">
        <v>160</v>
      </c>
      <c r="C211" s="5">
        <v>8.5999999999999412E-4</v>
      </c>
      <c r="D211">
        <v>2.8235000000000001</v>
      </c>
      <c r="E211" s="1">
        <v>0.45000000000000007</v>
      </c>
      <c r="F211" s="3">
        <v>46122</v>
      </c>
    </row>
    <row r="212" spans="1:6" x14ac:dyDescent="0.3">
      <c r="A212" t="s">
        <v>12</v>
      </c>
      <c r="B212">
        <v>180</v>
      </c>
      <c r="C212" s="5">
        <v>1.6149999999999886E-3</v>
      </c>
      <c r="D212">
        <v>2.3955000000000002</v>
      </c>
      <c r="E212" s="1">
        <v>0.45416666666666672</v>
      </c>
      <c r="F212" s="3">
        <v>46122</v>
      </c>
    </row>
    <row r="213" spans="1:6" x14ac:dyDescent="0.3">
      <c r="A213" t="s">
        <v>13</v>
      </c>
      <c r="B213">
        <v>180</v>
      </c>
      <c r="C213" s="5">
        <v>2.5050000000000237E-3</v>
      </c>
      <c r="D213">
        <v>4.1574999999999998</v>
      </c>
      <c r="E213" s="1">
        <v>0.4555555555555556</v>
      </c>
      <c r="F213" s="3">
        <v>46122</v>
      </c>
    </row>
    <row r="214" spans="1:6" x14ac:dyDescent="0.3">
      <c r="A214" t="s">
        <v>14</v>
      </c>
      <c r="B214">
        <v>180</v>
      </c>
      <c r="C214" s="5">
        <v>1.8000000000000017E-3</v>
      </c>
      <c r="D214">
        <v>2.7603</v>
      </c>
      <c r="E214" s="1">
        <v>0.4555555555555556</v>
      </c>
      <c r="F214" s="3">
        <v>46122</v>
      </c>
    </row>
    <row r="215" spans="1:6" x14ac:dyDescent="0.3">
      <c r="A215" t="s">
        <v>15</v>
      </c>
      <c r="B215">
        <v>180</v>
      </c>
      <c r="C215" s="5">
        <v>8.4500000000000688E-4</v>
      </c>
      <c r="D215">
        <v>2.4474999999999998</v>
      </c>
      <c r="E215" s="1">
        <v>0.45972222222222231</v>
      </c>
      <c r="F215" s="3">
        <v>46122</v>
      </c>
    </row>
    <row r="216" spans="1:6" x14ac:dyDescent="0.3">
      <c r="A216" t="s">
        <v>16</v>
      </c>
      <c r="B216">
        <v>180</v>
      </c>
      <c r="C216" s="5">
        <v>8.1999999999999846E-4</v>
      </c>
      <c r="D216">
        <v>2.2404999999999999</v>
      </c>
      <c r="E216" s="1">
        <v>0.46180555555555564</v>
      </c>
      <c r="F216" s="3">
        <v>46122</v>
      </c>
    </row>
    <row r="217" spans="1:6" x14ac:dyDescent="0.3">
      <c r="A217" t="s">
        <v>17</v>
      </c>
      <c r="B217">
        <v>180</v>
      </c>
      <c r="C217" s="5">
        <v>1.7249999999999987E-3</v>
      </c>
      <c r="D217">
        <v>3.3271999999999999</v>
      </c>
      <c r="E217" s="1">
        <v>0.46319444444444452</v>
      </c>
      <c r="F217" s="3">
        <v>46122</v>
      </c>
    </row>
    <row r="218" spans="1:6" x14ac:dyDescent="0.3">
      <c r="A218" t="s">
        <v>18</v>
      </c>
      <c r="B218">
        <v>180</v>
      </c>
      <c r="C218" s="5">
        <v>9.6500000000001587E-4</v>
      </c>
      <c r="D218">
        <v>2.8041999999999998</v>
      </c>
      <c r="E218" s="1">
        <v>0.46388888888888896</v>
      </c>
      <c r="F218" s="3">
        <v>46122</v>
      </c>
    </row>
    <row r="219" spans="1:6" x14ac:dyDescent="0.3">
      <c r="A219" t="s">
        <v>12</v>
      </c>
      <c r="B219">
        <v>200</v>
      </c>
      <c r="C219" s="5">
        <v>1.7249999999999987E-3</v>
      </c>
      <c r="D219">
        <v>2.3610000000000002</v>
      </c>
      <c r="E219" s="1">
        <v>0.46805555555555561</v>
      </c>
      <c r="F219" s="3">
        <v>46122</v>
      </c>
    </row>
    <row r="220" spans="1:6" x14ac:dyDescent="0.3">
      <c r="A220" t="s">
        <v>13</v>
      </c>
      <c r="B220">
        <v>200</v>
      </c>
      <c r="C220" s="5">
        <v>2.4649999999999837E-3</v>
      </c>
      <c r="D220">
        <v>4.1082000000000001</v>
      </c>
      <c r="E220" s="1">
        <v>0.4694444444444445</v>
      </c>
      <c r="F220" s="3">
        <v>46122</v>
      </c>
    </row>
    <row r="221" spans="1:6" x14ac:dyDescent="0.3">
      <c r="A221" t="s">
        <v>14</v>
      </c>
      <c r="B221">
        <v>200</v>
      </c>
      <c r="C221" s="5">
        <v>1.9649999999999945E-3</v>
      </c>
      <c r="D221">
        <v>2.7210000000000001</v>
      </c>
      <c r="E221" s="1">
        <v>0.4694444444444445</v>
      </c>
      <c r="F221" s="3">
        <v>46122</v>
      </c>
    </row>
    <row r="222" spans="1:6" x14ac:dyDescent="0.3">
      <c r="A222" t="s">
        <v>15</v>
      </c>
      <c r="B222">
        <v>200</v>
      </c>
      <c r="C222" s="5">
        <v>9.2999999999998639E-4</v>
      </c>
      <c r="D222">
        <v>2.4289000000000001</v>
      </c>
      <c r="E222" s="1">
        <v>0.4736111111111112</v>
      </c>
      <c r="F222" s="3">
        <v>46122</v>
      </c>
    </row>
    <row r="223" spans="1:6" x14ac:dyDescent="0.3">
      <c r="A223" t="s">
        <v>16</v>
      </c>
      <c r="B223">
        <v>200</v>
      </c>
      <c r="C223" s="5">
        <v>8.4500000000000688E-4</v>
      </c>
      <c r="D223">
        <v>2.2235999999999998</v>
      </c>
      <c r="E223" s="1">
        <v>0.47569444444444453</v>
      </c>
      <c r="F223" s="3">
        <v>46122</v>
      </c>
    </row>
    <row r="224" spans="1:6" x14ac:dyDescent="0.3">
      <c r="A224" t="s">
        <v>17</v>
      </c>
      <c r="B224">
        <v>200</v>
      </c>
      <c r="C224" s="5">
        <v>1.5700000000000048E-3</v>
      </c>
      <c r="D224">
        <v>3.2957999999999998</v>
      </c>
      <c r="E224" s="1">
        <v>0.47708333333333341</v>
      </c>
      <c r="F224" s="3">
        <v>46122</v>
      </c>
    </row>
    <row r="225" spans="1:6" x14ac:dyDescent="0.3">
      <c r="A225" t="s">
        <v>18</v>
      </c>
      <c r="B225">
        <v>200</v>
      </c>
      <c r="C225" s="5">
        <v>8.5999999999999412E-4</v>
      </c>
      <c r="D225">
        <v>2.7869999999999999</v>
      </c>
      <c r="E225" s="1">
        <v>0.47777777777777786</v>
      </c>
      <c r="F225" s="3">
        <v>46122</v>
      </c>
    </row>
    <row r="226" spans="1:6" x14ac:dyDescent="0.3">
      <c r="A226" t="s">
        <v>12</v>
      </c>
      <c r="B226">
        <v>220</v>
      </c>
      <c r="C226" s="5">
        <v>1.6500000000000182E-3</v>
      </c>
      <c r="D226">
        <v>2.3279999999999998</v>
      </c>
      <c r="E226" s="1">
        <v>0.48194444444444451</v>
      </c>
      <c r="F226" s="3">
        <v>46122</v>
      </c>
    </row>
    <row r="227" spans="1:6" x14ac:dyDescent="0.3">
      <c r="A227" t="s">
        <v>13</v>
      </c>
      <c r="B227">
        <v>220</v>
      </c>
      <c r="C227" s="5">
        <v>2.5949999999999918E-3</v>
      </c>
      <c r="D227">
        <v>4.0563000000000002</v>
      </c>
      <c r="E227" s="1">
        <v>0.48333333333333339</v>
      </c>
      <c r="F227" s="3">
        <v>46122</v>
      </c>
    </row>
    <row r="228" spans="1:6" x14ac:dyDescent="0.3">
      <c r="A228" t="s">
        <v>14</v>
      </c>
      <c r="B228">
        <v>220</v>
      </c>
      <c r="C228" s="5">
        <v>2.0050000000000124E-3</v>
      </c>
      <c r="D228">
        <v>2.6808999999999998</v>
      </c>
      <c r="E228" s="1">
        <v>0.48333333333333339</v>
      </c>
      <c r="F228" s="3">
        <v>46122</v>
      </c>
    </row>
    <row r="229" spans="1:6" x14ac:dyDescent="0.3">
      <c r="A229" t="s">
        <v>15</v>
      </c>
      <c r="B229">
        <v>220</v>
      </c>
      <c r="C229" s="5">
        <v>9.2000000000000968E-4</v>
      </c>
      <c r="D229">
        <v>2.4104999999999999</v>
      </c>
      <c r="E229" s="1">
        <v>0.4875000000000001</v>
      </c>
      <c r="F229" s="3">
        <v>46122</v>
      </c>
    </row>
    <row r="230" spans="1:6" x14ac:dyDescent="0.3">
      <c r="A230" t="s">
        <v>16</v>
      </c>
      <c r="B230">
        <v>220</v>
      </c>
      <c r="C230" s="5">
        <v>7.6499999999999344E-4</v>
      </c>
      <c r="D230">
        <v>2.2082999999999999</v>
      </c>
      <c r="E230" s="1">
        <v>0.48958333333333343</v>
      </c>
      <c r="F230" s="3">
        <v>46122</v>
      </c>
    </row>
    <row r="231" spans="1:6" x14ac:dyDescent="0.3">
      <c r="A231" t="s">
        <v>17</v>
      </c>
      <c r="B231">
        <v>220</v>
      </c>
      <c r="C231" s="5">
        <v>1.584999999999992E-3</v>
      </c>
      <c r="D231">
        <v>3.2641</v>
      </c>
      <c r="E231" s="1">
        <v>0.49097222222222231</v>
      </c>
      <c r="F231" s="3">
        <v>46122</v>
      </c>
    </row>
    <row r="232" spans="1:6" x14ac:dyDescent="0.3">
      <c r="A232" t="s">
        <v>18</v>
      </c>
      <c r="B232">
        <v>220</v>
      </c>
      <c r="C232" s="5">
        <v>8.9500000000000137E-4</v>
      </c>
      <c r="D232">
        <v>2.7690999999999999</v>
      </c>
      <c r="E232" s="1">
        <v>0.49166666666666675</v>
      </c>
      <c r="F232" s="3">
        <v>46122</v>
      </c>
    </row>
    <row r="233" spans="1:6" x14ac:dyDescent="0.3">
      <c r="A233" t="s">
        <v>33</v>
      </c>
      <c r="B233">
        <v>0</v>
      </c>
      <c r="C233" s="2">
        <v>1.969999999999983E-3</v>
      </c>
      <c r="D233">
        <v>2.4342000000000001</v>
      </c>
      <c r="E233" s="1">
        <v>0.3263888888888889</v>
      </c>
      <c r="F233" s="3">
        <v>46126</v>
      </c>
    </row>
    <row r="234" spans="1:6" x14ac:dyDescent="0.3">
      <c r="A234" t="s">
        <v>25</v>
      </c>
      <c r="B234">
        <v>0</v>
      </c>
      <c r="C234" s="2">
        <v>1.960000000000006E-3</v>
      </c>
      <c r="D234">
        <v>2.8195999999999999</v>
      </c>
      <c r="E234" s="1">
        <v>0.32708333333333334</v>
      </c>
      <c r="F234" s="3">
        <v>46126</v>
      </c>
    </row>
    <row r="235" spans="1:6" x14ac:dyDescent="0.3">
      <c r="A235" t="s">
        <v>26</v>
      </c>
      <c r="B235">
        <v>0</v>
      </c>
      <c r="C235" s="2">
        <v>2.0049999999999903E-3</v>
      </c>
      <c r="D235">
        <v>2.4992000000000001</v>
      </c>
      <c r="E235" s="1">
        <v>0.32708333333333334</v>
      </c>
      <c r="F235" s="3">
        <v>46126</v>
      </c>
    </row>
    <row r="236" spans="1:6" x14ac:dyDescent="0.3">
      <c r="A236" t="s">
        <v>27</v>
      </c>
      <c r="B236">
        <v>0</v>
      </c>
      <c r="C236" s="2">
        <v>3.7499999999999198E-4</v>
      </c>
      <c r="D236">
        <v>3.1930000000000001</v>
      </c>
      <c r="E236" s="1">
        <v>0.32777777777777778</v>
      </c>
      <c r="F236" s="3">
        <v>46126</v>
      </c>
    </row>
    <row r="237" spans="1:6" x14ac:dyDescent="0.3">
      <c r="A237" t="s">
        <v>28</v>
      </c>
      <c r="B237">
        <v>0</v>
      </c>
      <c r="C237" s="2">
        <v>1.2150000000000106E-3</v>
      </c>
      <c r="D237">
        <v>2.6242999999999999</v>
      </c>
      <c r="E237" s="1">
        <v>0.32777777777777778</v>
      </c>
      <c r="F237" s="3">
        <v>46126</v>
      </c>
    </row>
    <row r="238" spans="1:6" x14ac:dyDescent="0.3">
      <c r="A238" t="s">
        <v>2</v>
      </c>
      <c r="B238">
        <v>0</v>
      </c>
      <c r="C238" s="2">
        <v>6.7000000000001498E-4</v>
      </c>
      <c r="D238">
        <v>3.4914999999999998</v>
      </c>
      <c r="E238" s="1">
        <v>0.32777777777777778</v>
      </c>
      <c r="F238" s="3">
        <v>46126</v>
      </c>
    </row>
    <row r="239" spans="1:6" x14ac:dyDescent="0.3">
      <c r="A239" t="s">
        <v>29</v>
      </c>
      <c r="B239">
        <v>0</v>
      </c>
      <c r="C239" s="2">
        <v>7.7000000000000397E-4</v>
      </c>
      <c r="D239">
        <v>2.1545000000000001</v>
      </c>
      <c r="E239" s="1">
        <v>0.32847222222222222</v>
      </c>
      <c r="F239" s="3">
        <v>46126</v>
      </c>
    </row>
    <row r="240" spans="1:6" x14ac:dyDescent="0.3">
      <c r="A240" t="s">
        <v>33</v>
      </c>
      <c r="B240">
        <v>20</v>
      </c>
      <c r="C240" s="2">
        <v>1.6600000000000169E-3</v>
      </c>
      <c r="D240">
        <v>2.4009999999999998</v>
      </c>
      <c r="E240" s="1">
        <v>0.34027777777777779</v>
      </c>
      <c r="F240" s="3">
        <v>46126</v>
      </c>
    </row>
    <row r="241" spans="1:6" x14ac:dyDescent="0.3">
      <c r="A241" t="s">
        <v>25</v>
      </c>
      <c r="B241">
        <v>20</v>
      </c>
      <c r="C241" s="2">
        <v>1.8499999999999962E-3</v>
      </c>
      <c r="D241">
        <v>2.7826</v>
      </c>
      <c r="E241" s="1">
        <v>0.34097222222222223</v>
      </c>
      <c r="F241" s="3">
        <v>46126</v>
      </c>
    </row>
    <row r="242" spans="1:6" x14ac:dyDescent="0.3">
      <c r="A242" t="s">
        <v>26</v>
      </c>
      <c r="B242">
        <v>20</v>
      </c>
      <c r="C242" s="2">
        <v>2.0100000000000005E-3</v>
      </c>
      <c r="D242">
        <v>2.4590000000000001</v>
      </c>
      <c r="E242" s="1">
        <v>0.34097222222222223</v>
      </c>
      <c r="F242" s="3">
        <v>46126</v>
      </c>
    </row>
    <row r="243" spans="1:6" x14ac:dyDescent="0.3">
      <c r="A243" t="s">
        <v>27</v>
      </c>
      <c r="B243">
        <v>20</v>
      </c>
      <c r="C243" s="2">
        <v>1.2599999999999944E-3</v>
      </c>
      <c r="D243">
        <v>3.1678000000000002</v>
      </c>
      <c r="E243" s="1">
        <v>0.34166666666666667</v>
      </c>
      <c r="F243" s="3">
        <v>46126</v>
      </c>
    </row>
    <row r="244" spans="1:6" x14ac:dyDescent="0.3">
      <c r="A244" t="s">
        <v>28</v>
      </c>
      <c r="B244">
        <v>20</v>
      </c>
      <c r="C244" s="2">
        <v>2.6249999999999885E-3</v>
      </c>
      <c r="D244">
        <v>2.5718000000000001</v>
      </c>
      <c r="E244" s="1">
        <v>0.34166666666666667</v>
      </c>
      <c r="F244" s="3">
        <v>46126</v>
      </c>
    </row>
    <row r="245" spans="1:6" x14ac:dyDescent="0.3">
      <c r="A245" t="s">
        <v>2</v>
      </c>
      <c r="B245">
        <v>20</v>
      </c>
      <c r="C245" s="2">
        <v>1.794999999999991E-3</v>
      </c>
      <c r="D245">
        <v>3.4556</v>
      </c>
      <c r="E245" s="1">
        <v>0.34166666666666667</v>
      </c>
      <c r="F245" s="3">
        <v>46126</v>
      </c>
    </row>
    <row r="246" spans="1:6" x14ac:dyDescent="0.3">
      <c r="A246" t="s">
        <v>29</v>
      </c>
      <c r="B246">
        <v>20</v>
      </c>
      <c r="C246" s="2">
        <v>1.8100000000000004E-3</v>
      </c>
      <c r="D246">
        <v>2.1183000000000001</v>
      </c>
      <c r="E246" s="1">
        <v>0.34236111111111112</v>
      </c>
      <c r="F246" s="3">
        <v>46126</v>
      </c>
    </row>
    <row r="247" spans="1:6" x14ac:dyDescent="0.3">
      <c r="A247" t="s">
        <v>33</v>
      </c>
      <c r="B247">
        <v>40</v>
      </c>
      <c r="C247" s="2">
        <v>1.1299999999999865E-3</v>
      </c>
      <c r="D247">
        <v>2.3784000000000001</v>
      </c>
      <c r="E247" s="1">
        <v>0.35416666666666669</v>
      </c>
      <c r="F247" s="3">
        <v>46126</v>
      </c>
    </row>
    <row r="248" spans="1:6" x14ac:dyDescent="0.3">
      <c r="A248" t="s">
        <v>25</v>
      </c>
      <c r="B248">
        <v>40</v>
      </c>
      <c r="C248" s="2">
        <v>1.1749999999999927E-3</v>
      </c>
      <c r="D248">
        <v>2.7591000000000001</v>
      </c>
      <c r="E248" s="1">
        <v>0.35486111111111113</v>
      </c>
      <c r="F248" s="3">
        <v>46126</v>
      </c>
    </row>
    <row r="249" spans="1:6" x14ac:dyDescent="0.3">
      <c r="A249" t="s">
        <v>26</v>
      </c>
      <c r="B249">
        <v>40</v>
      </c>
      <c r="C249" s="2">
        <v>1.1400000000000078E-3</v>
      </c>
      <c r="D249">
        <v>2.4361999999999999</v>
      </c>
      <c r="E249" s="1">
        <v>0.35486111111111113</v>
      </c>
      <c r="F249" s="3">
        <v>46126</v>
      </c>
    </row>
    <row r="250" spans="1:6" x14ac:dyDescent="0.3">
      <c r="A250" t="s">
        <v>27</v>
      </c>
      <c r="B250">
        <v>40</v>
      </c>
      <c r="C250" s="2">
        <v>1.0000000000000009E-3</v>
      </c>
      <c r="D250">
        <v>3.1478000000000002</v>
      </c>
      <c r="E250" s="1">
        <v>0.35555555555555557</v>
      </c>
      <c r="F250" s="3">
        <v>46126</v>
      </c>
    </row>
    <row r="251" spans="1:6" x14ac:dyDescent="0.3">
      <c r="A251" t="s">
        <v>28</v>
      </c>
      <c r="B251">
        <v>40</v>
      </c>
      <c r="C251" s="2">
        <v>3.0599999999999959E-3</v>
      </c>
      <c r="D251">
        <v>2.5106000000000002</v>
      </c>
      <c r="E251" s="1">
        <v>0.35555555555555557</v>
      </c>
      <c r="F251" s="3">
        <v>46126</v>
      </c>
    </row>
    <row r="252" spans="1:6" x14ac:dyDescent="0.3">
      <c r="A252" t="s">
        <v>2</v>
      </c>
      <c r="B252">
        <v>40</v>
      </c>
      <c r="C252" s="2">
        <v>1.3349999999999972E-3</v>
      </c>
      <c r="D252">
        <v>3.4289000000000001</v>
      </c>
      <c r="E252" s="1">
        <v>0.35555555555555557</v>
      </c>
      <c r="F252" s="3">
        <v>46126</v>
      </c>
    </row>
    <row r="253" spans="1:6" x14ac:dyDescent="0.3">
      <c r="A253" t="s">
        <v>29</v>
      </c>
      <c r="B253">
        <v>40</v>
      </c>
      <c r="C253" s="2">
        <v>1.5500000000000069E-3</v>
      </c>
      <c r="D253">
        <v>2.0872999999999999</v>
      </c>
      <c r="E253" s="1">
        <v>0.35625000000000001</v>
      </c>
      <c r="F253" s="3">
        <v>46126</v>
      </c>
    </row>
    <row r="254" spans="1:6" x14ac:dyDescent="0.3">
      <c r="A254" t="s">
        <v>33</v>
      </c>
      <c r="B254">
        <v>60</v>
      </c>
      <c r="C254" s="2">
        <v>1.3149999999999995E-3</v>
      </c>
      <c r="D254">
        <v>2.3521000000000001</v>
      </c>
      <c r="E254" s="1">
        <v>0.36805555555555558</v>
      </c>
      <c r="F254" s="3">
        <v>46126</v>
      </c>
    </row>
    <row r="255" spans="1:6" x14ac:dyDescent="0.3">
      <c r="A255" t="s">
        <v>25</v>
      </c>
      <c r="B255">
        <v>60</v>
      </c>
      <c r="C255" s="2">
        <v>1.1249999999999982E-3</v>
      </c>
      <c r="D255">
        <v>2.7366000000000001</v>
      </c>
      <c r="E255" s="1">
        <v>0.36875000000000002</v>
      </c>
      <c r="F255" s="3">
        <v>46126</v>
      </c>
    </row>
    <row r="256" spans="1:6" x14ac:dyDescent="0.3">
      <c r="A256" t="s">
        <v>26</v>
      </c>
      <c r="B256">
        <v>60</v>
      </c>
      <c r="C256" s="2">
        <v>1.2449999999999851E-3</v>
      </c>
      <c r="D256">
        <v>2.4113000000000002</v>
      </c>
      <c r="E256" s="1">
        <v>0.36875000000000002</v>
      </c>
      <c r="F256" s="3">
        <v>46126</v>
      </c>
    </row>
    <row r="257" spans="1:6" x14ac:dyDescent="0.3">
      <c r="A257" t="s">
        <v>27</v>
      </c>
      <c r="B257">
        <v>60</v>
      </c>
      <c r="C257" s="2">
        <v>9.9500000000001258E-4</v>
      </c>
      <c r="D257">
        <v>3.1278999999999999</v>
      </c>
      <c r="E257" s="1">
        <v>0.36944444444444446</v>
      </c>
      <c r="F257" s="3">
        <v>46126</v>
      </c>
    </row>
    <row r="258" spans="1:6" x14ac:dyDescent="0.3">
      <c r="A258" t="s">
        <v>28</v>
      </c>
      <c r="B258">
        <v>60</v>
      </c>
      <c r="C258" s="2">
        <v>2.9400000000000094E-3</v>
      </c>
      <c r="D258">
        <v>2.4518</v>
      </c>
      <c r="E258" s="1">
        <v>0.36944444444444446</v>
      </c>
      <c r="F258" s="3">
        <v>46126</v>
      </c>
    </row>
    <row r="259" spans="1:6" x14ac:dyDescent="0.3">
      <c r="A259" t="s">
        <v>2</v>
      </c>
      <c r="B259">
        <v>60</v>
      </c>
      <c r="C259" s="2">
        <v>1.3549999999999951E-3</v>
      </c>
      <c r="D259">
        <v>3.4018000000000002</v>
      </c>
      <c r="E259" s="1">
        <v>0.36944444444444446</v>
      </c>
      <c r="F259" s="3">
        <v>46126</v>
      </c>
    </row>
    <row r="260" spans="1:6" x14ac:dyDescent="0.3">
      <c r="A260" t="s">
        <v>29</v>
      </c>
      <c r="B260">
        <v>60</v>
      </c>
      <c r="C260" s="2">
        <v>1.8000000000000017E-3</v>
      </c>
      <c r="D260">
        <v>2.0512999999999999</v>
      </c>
      <c r="E260" s="1">
        <v>0.37013888888888891</v>
      </c>
      <c r="F260" s="3">
        <v>46126</v>
      </c>
    </row>
    <row r="261" spans="1:6" x14ac:dyDescent="0.3">
      <c r="A261" t="s">
        <v>33</v>
      </c>
      <c r="B261">
        <v>80</v>
      </c>
      <c r="C261" s="2">
        <v>1.2099999999999999E-3</v>
      </c>
      <c r="D261">
        <v>2.3279000000000001</v>
      </c>
      <c r="E261" s="1">
        <v>0.38194444444444448</v>
      </c>
      <c r="F261" s="3">
        <v>46126</v>
      </c>
    </row>
    <row r="262" spans="1:6" x14ac:dyDescent="0.3">
      <c r="A262" t="s">
        <v>25</v>
      </c>
      <c r="B262">
        <v>80</v>
      </c>
      <c r="C262" s="2">
        <v>1.0800000000000143E-3</v>
      </c>
      <c r="D262">
        <v>2.7149999999999999</v>
      </c>
      <c r="E262" s="1">
        <v>0.38263888888888892</v>
      </c>
      <c r="F262" s="3">
        <v>46126</v>
      </c>
    </row>
    <row r="263" spans="1:6" x14ac:dyDescent="0.3">
      <c r="A263" t="s">
        <v>26</v>
      </c>
      <c r="B263">
        <v>80</v>
      </c>
      <c r="C263" s="2">
        <v>1.1800000000000033E-3</v>
      </c>
      <c r="D263">
        <v>2.3877000000000002</v>
      </c>
      <c r="E263" s="1">
        <v>0.38263888888888892</v>
      </c>
      <c r="F263" s="3">
        <v>46126</v>
      </c>
    </row>
    <row r="264" spans="1:6" x14ac:dyDescent="0.3">
      <c r="A264" t="s">
        <v>27</v>
      </c>
      <c r="B264">
        <v>80</v>
      </c>
      <c r="C264" s="2">
        <v>1.3499999999999845E-3</v>
      </c>
      <c r="D264">
        <v>3.1009000000000002</v>
      </c>
      <c r="E264" s="1">
        <v>0.38333333333333336</v>
      </c>
      <c r="F264" s="3">
        <v>46126</v>
      </c>
    </row>
    <row r="265" spans="1:6" x14ac:dyDescent="0.3">
      <c r="A265" t="s">
        <v>28</v>
      </c>
      <c r="B265">
        <v>80</v>
      </c>
      <c r="C265" s="2">
        <v>1.2350000000000082E-3</v>
      </c>
      <c r="D265">
        <v>2.4270999999999998</v>
      </c>
      <c r="E265" s="1">
        <v>0.38333333333333336</v>
      </c>
      <c r="F265" s="3">
        <v>46126</v>
      </c>
    </row>
    <row r="266" spans="1:6" x14ac:dyDescent="0.3">
      <c r="A266" t="s">
        <v>2</v>
      </c>
      <c r="B266">
        <v>80</v>
      </c>
      <c r="C266" s="2">
        <v>2.3400000000000087E-3</v>
      </c>
      <c r="D266">
        <v>3.355</v>
      </c>
      <c r="E266" s="1">
        <v>0.38333333333333336</v>
      </c>
      <c r="F266" s="3">
        <v>46126</v>
      </c>
    </row>
    <row r="267" spans="1:6" x14ac:dyDescent="0.3">
      <c r="A267" t="s">
        <v>29</v>
      </c>
      <c r="B267">
        <v>80</v>
      </c>
      <c r="C267" s="2">
        <v>1.8249999999999877E-3</v>
      </c>
      <c r="D267">
        <v>2.0148000000000001</v>
      </c>
      <c r="E267" s="1">
        <v>0.3840277777777778</v>
      </c>
      <c r="F267" s="3">
        <v>46126</v>
      </c>
    </row>
    <row r="268" spans="1:6" x14ac:dyDescent="0.3">
      <c r="A268" t="s">
        <v>33</v>
      </c>
      <c r="B268">
        <v>100</v>
      </c>
      <c r="C268" s="2">
        <v>1.0050000000000115E-3</v>
      </c>
      <c r="D268">
        <v>2.3077999999999999</v>
      </c>
      <c r="E268" s="1">
        <v>0.39583333333333337</v>
      </c>
      <c r="F268" s="3">
        <v>46126</v>
      </c>
    </row>
    <row r="269" spans="1:6" x14ac:dyDescent="0.3">
      <c r="A269" t="s">
        <v>25</v>
      </c>
      <c r="B269">
        <v>100</v>
      </c>
      <c r="C269" s="2">
        <v>8.9500000000000137E-4</v>
      </c>
      <c r="D269">
        <v>2.6970999999999998</v>
      </c>
      <c r="E269" s="1">
        <v>0.39652777777777781</v>
      </c>
      <c r="F269" s="3">
        <v>46126</v>
      </c>
    </row>
    <row r="270" spans="1:6" x14ac:dyDescent="0.3">
      <c r="A270" t="s">
        <v>26</v>
      </c>
      <c r="B270">
        <v>100</v>
      </c>
      <c r="C270" s="2">
        <v>1.0950000000000016E-3</v>
      </c>
      <c r="D270">
        <v>2.3658000000000001</v>
      </c>
      <c r="E270" s="1">
        <v>0.39652777777777781</v>
      </c>
      <c r="F270" s="3">
        <v>46126</v>
      </c>
    </row>
    <row r="271" spans="1:6" x14ac:dyDescent="0.3">
      <c r="A271" t="s">
        <v>27</v>
      </c>
      <c r="B271">
        <v>100</v>
      </c>
      <c r="C271" s="2">
        <v>1.6600000000000169E-3</v>
      </c>
      <c r="D271">
        <v>3.0676999999999999</v>
      </c>
      <c r="E271" s="1">
        <v>0.39722222222222225</v>
      </c>
      <c r="F271" s="3">
        <v>46126</v>
      </c>
    </row>
    <row r="272" spans="1:6" x14ac:dyDescent="0.3">
      <c r="A272" t="s">
        <v>28</v>
      </c>
      <c r="B272">
        <v>100</v>
      </c>
      <c r="C272" s="2">
        <v>9.0999999999998862E-4</v>
      </c>
      <c r="D272">
        <v>2.4089</v>
      </c>
      <c r="E272" s="1">
        <v>0.39722222222222225</v>
      </c>
      <c r="F272" s="3">
        <v>46126</v>
      </c>
    </row>
    <row r="273" spans="1:6" x14ac:dyDescent="0.3">
      <c r="A273" t="s">
        <v>2</v>
      </c>
      <c r="B273">
        <v>100</v>
      </c>
      <c r="C273" s="2">
        <v>3.2249999999999892E-3</v>
      </c>
      <c r="D273">
        <v>3.2905000000000002</v>
      </c>
      <c r="E273" s="1">
        <v>0.39722222222222225</v>
      </c>
      <c r="F273" s="3">
        <v>46126</v>
      </c>
    </row>
    <row r="274" spans="1:6" x14ac:dyDescent="0.3">
      <c r="A274" t="s">
        <v>29</v>
      </c>
      <c r="B274">
        <v>100</v>
      </c>
      <c r="C274" s="2">
        <v>1.5300000000000092E-3</v>
      </c>
      <c r="D274">
        <v>1.9842</v>
      </c>
      <c r="E274" s="1">
        <v>0.3979166666666667</v>
      </c>
      <c r="F274" s="3">
        <v>46126</v>
      </c>
    </row>
    <row r="275" spans="1:6" x14ac:dyDescent="0.3">
      <c r="A275" t="s">
        <v>33</v>
      </c>
      <c r="B275">
        <v>120</v>
      </c>
      <c r="C275" s="2">
        <v>9.5999999999998311E-4</v>
      </c>
      <c r="D275">
        <v>2.2886000000000002</v>
      </c>
      <c r="E275" s="1">
        <v>0.40972222222222227</v>
      </c>
      <c r="F275" s="3">
        <v>46126</v>
      </c>
    </row>
    <row r="276" spans="1:6" x14ac:dyDescent="0.3">
      <c r="A276" t="s">
        <v>25</v>
      </c>
      <c r="B276">
        <v>120</v>
      </c>
      <c r="C276" s="2">
        <v>9.5999999999998311E-4</v>
      </c>
      <c r="D276">
        <v>2.6779000000000002</v>
      </c>
      <c r="E276" s="1">
        <v>0.41041666666666671</v>
      </c>
      <c r="F276" s="3">
        <v>46126</v>
      </c>
    </row>
    <row r="277" spans="1:6" x14ac:dyDescent="0.3">
      <c r="A277" t="s">
        <v>26</v>
      </c>
      <c r="B277">
        <v>120</v>
      </c>
      <c r="C277" s="2">
        <v>1.0600000000000164E-3</v>
      </c>
      <c r="D277">
        <v>2.3445999999999998</v>
      </c>
      <c r="E277" s="1">
        <v>0.41041666666666671</v>
      </c>
      <c r="F277" s="3">
        <v>46126</v>
      </c>
    </row>
    <row r="278" spans="1:6" x14ac:dyDescent="0.3">
      <c r="A278" t="s">
        <v>27</v>
      </c>
      <c r="B278">
        <v>120</v>
      </c>
      <c r="C278" s="2">
        <v>1.5900000000000024E-3</v>
      </c>
      <c r="D278">
        <v>3.0358999999999998</v>
      </c>
      <c r="E278" s="1">
        <v>0.41111111111111115</v>
      </c>
      <c r="F278" s="3">
        <v>46126</v>
      </c>
    </row>
    <row r="279" spans="1:6" x14ac:dyDescent="0.3">
      <c r="A279" t="s">
        <v>28</v>
      </c>
      <c r="B279">
        <v>120</v>
      </c>
      <c r="C279" s="2">
        <v>7.4000000000000736E-4</v>
      </c>
      <c r="D279">
        <v>2.3940999999999999</v>
      </c>
      <c r="E279" s="1">
        <v>0.41111111111111115</v>
      </c>
      <c r="F279" s="3">
        <v>46126</v>
      </c>
    </row>
    <row r="280" spans="1:6" x14ac:dyDescent="0.3">
      <c r="A280" t="s">
        <v>2</v>
      </c>
      <c r="B280">
        <v>120</v>
      </c>
      <c r="C280" s="2">
        <v>1.0700000000000154E-3</v>
      </c>
      <c r="D280">
        <v>3.2690999999999999</v>
      </c>
      <c r="E280" s="1">
        <v>0.41111111111111115</v>
      </c>
      <c r="F280" s="3">
        <v>46126</v>
      </c>
    </row>
    <row r="281" spans="1:6" x14ac:dyDescent="0.3">
      <c r="A281" t="s">
        <v>29</v>
      </c>
      <c r="B281">
        <v>120</v>
      </c>
      <c r="C281" s="2">
        <v>1.3950000000000017E-3</v>
      </c>
      <c r="D281">
        <v>1.9562999999999999</v>
      </c>
      <c r="E281" s="1">
        <v>0.41180555555555559</v>
      </c>
      <c r="F281" s="3">
        <v>46126</v>
      </c>
    </row>
    <row r="282" spans="1:6" x14ac:dyDescent="0.3">
      <c r="A282" t="s">
        <v>33</v>
      </c>
      <c r="B282">
        <v>140</v>
      </c>
      <c r="C282" s="2">
        <v>9.5000000000000639E-4</v>
      </c>
      <c r="D282">
        <v>2.2696000000000001</v>
      </c>
      <c r="E282" s="1">
        <v>0.42361111111111116</v>
      </c>
      <c r="F282" s="3">
        <v>46126</v>
      </c>
    </row>
    <row r="283" spans="1:6" x14ac:dyDescent="0.3">
      <c r="A283" t="s">
        <v>25</v>
      </c>
      <c r="B283">
        <v>140</v>
      </c>
      <c r="C283" s="2">
        <v>1.0450000000000071E-3</v>
      </c>
      <c r="D283">
        <v>2.657</v>
      </c>
      <c r="E283" s="1">
        <v>0.4243055555555556</v>
      </c>
      <c r="F283" s="3">
        <v>46126</v>
      </c>
    </row>
    <row r="284" spans="1:6" x14ac:dyDescent="0.3">
      <c r="A284" t="s">
        <v>26</v>
      </c>
      <c r="B284">
        <v>140</v>
      </c>
      <c r="C284" s="2">
        <v>1.154999999999995E-3</v>
      </c>
      <c r="D284">
        <v>2.3214999999999999</v>
      </c>
      <c r="E284" s="1">
        <v>0.4243055555555556</v>
      </c>
      <c r="F284" s="3">
        <v>46126</v>
      </c>
    </row>
    <row r="285" spans="1:6" x14ac:dyDescent="0.3">
      <c r="A285" t="s">
        <v>27</v>
      </c>
      <c r="B285">
        <v>140</v>
      </c>
      <c r="C285" s="2">
        <v>1.3399999999999857E-3</v>
      </c>
      <c r="D285">
        <v>3.0091000000000001</v>
      </c>
      <c r="E285" s="1">
        <v>0.42500000000000004</v>
      </c>
      <c r="F285" s="3">
        <v>46126</v>
      </c>
    </row>
    <row r="286" spans="1:6" x14ac:dyDescent="0.3">
      <c r="A286" t="s">
        <v>28</v>
      </c>
      <c r="B286">
        <v>140</v>
      </c>
      <c r="C286" s="2">
        <v>9.0500000000000021E-4</v>
      </c>
      <c r="D286">
        <v>2.3759999999999999</v>
      </c>
      <c r="E286" s="1">
        <v>0.42500000000000004</v>
      </c>
      <c r="F286" s="3">
        <v>46126</v>
      </c>
    </row>
    <row r="287" spans="1:6" x14ac:dyDescent="0.3">
      <c r="A287" t="s">
        <v>2</v>
      </c>
      <c r="B287">
        <v>140</v>
      </c>
      <c r="C287" s="2">
        <v>1.154999999999995E-3</v>
      </c>
      <c r="D287">
        <v>3.246</v>
      </c>
      <c r="E287" s="1">
        <v>0.42500000000000004</v>
      </c>
      <c r="F287" s="3">
        <v>46126</v>
      </c>
    </row>
    <row r="288" spans="1:6" x14ac:dyDescent="0.3">
      <c r="A288" t="s">
        <v>29</v>
      </c>
      <c r="B288">
        <v>140</v>
      </c>
      <c r="C288" s="2">
        <v>1.5549999999999952E-3</v>
      </c>
      <c r="D288">
        <v>1.9252</v>
      </c>
      <c r="E288" s="1">
        <v>0.42569444444444449</v>
      </c>
      <c r="F288" s="3">
        <v>46126</v>
      </c>
    </row>
    <row r="289" spans="1:6" x14ac:dyDescent="0.3">
      <c r="A289" t="s">
        <v>33</v>
      </c>
      <c r="B289">
        <v>160</v>
      </c>
      <c r="C289" s="2">
        <v>9.549999999999947E-4</v>
      </c>
      <c r="D289">
        <v>2.2505000000000002</v>
      </c>
      <c r="E289" s="1">
        <v>0.43750000000000006</v>
      </c>
      <c r="F289" s="3">
        <v>46126</v>
      </c>
    </row>
    <row r="290" spans="1:6" x14ac:dyDescent="0.3">
      <c r="A290" t="s">
        <v>25</v>
      </c>
      <c r="B290">
        <v>160</v>
      </c>
      <c r="C290" s="2">
        <v>1.0350000000000081E-3</v>
      </c>
      <c r="D290">
        <v>2.6362999999999999</v>
      </c>
      <c r="E290" s="1">
        <v>0.4381944444444445</v>
      </c>
      <c r="F290" s="3">
        <v>46126</v>
      </c>
    </row>
    <row r="291" spans="1:6" x14ac:dyDescent="0.3">
      <c r="A291" t="s">
        <v>26</v>
      </c>
      <c r="B291">
        <v>160</v>
      </c>
      <c r="C291" s="2">
        <v>1.079999999999992E-3</v>
      </c>
      <c r="D291">
        <v>2.2999000000000001</v>
      </c>
      <c r="E291" s="1">
        <v>0.4381944444444445</v>
      </c>
      <c r="F291" s="3">
        <v>46126</v>
      </c>
    </row>
    <row r="292" spans="1:6" x14ac:dyDescent="0.3">
      <c r="A292" t="s">
        <v>27</v>
      </c>
      <c r="B292">
        <v>160</v>
      </c>
      <c r="C292" s="2">
        <v>9.6500000000001587E-4</v>
      </c>
      <c r="D292">
        <v>2.9897999999999998</v>
      </c>
      <c r="E292" s="1">
        <v>0.43888888888888894</v>
      </c>
      <c r="F292" s="3">
        <v>46126</v>
      </c>
    </row>
    <row r="293" spans="1:6" x14ac:dyDescent="0.3">
      <c r="A293" t="s">
        <v>28</v>
      </c>
      <c r="B293">
        <v>160</v>
      </c>
      <c r="C293" s="2">
        <v>7.9499999999999016E-4</v>
      </c>
      <c r="D293">
        <v>2.3601000000000001</v>
      </c>
      <c r="E293" s="1">
        <v>0.43888888888888894</v>
      </c>
      <c r="F293" s="3">
        <v>46126</v>
      </c>
    </row>
    <row r="294" spans="1:6" x14ac:dyDescent="0.3">
      <c r="A294" t="s">
        <v>2</v>
      </c>
      <c r="B294">
        <v>160</v>
      </c>
      <c r="C294" s="2">
        <v>1.0150000000000103E-3</v>
      </c>
      <c r="D294">
        <v>3.2256999999999998</v>
      </c>
      <c r="E294" s="1">
        <v>0.43888888888888894</v>
      </c>
      <c r="F294" s="3">
        <v>46126</v>
      </c>
    </row>
    <row r="295" spans="1:6" x14ac:dyDescent="0.3">
      <c r="A295" t="s">
        <v>29</v>
      </c>
      <c r="B295">
        <v>160</v>
      </c>
      <c r="C295" s="2">
        <v>1.4449999999999962E-3</v>
      </c>
      <c r="D295">
        <v>1.8963000000000001</v>
      </c>
      <c r="E295" s="1">
        <v>0.43958333333333338</v>
      </c>
      <c r="F295" s="3">
        <v>46126</v>
      </c>
    </row>
    <row r="296" spans="1:6" x14ac:dyDescent="0.3">
      <c r="A296" t="s">
        <v>33</v>
      </c>
      <c r="B296">
        <v>180</v>
      </c>
      <c r="C296" s="2">
        <v>9.2000000000000968E-4</v>
      </c>
      <c r="D296">
        <v>2.2321</v>
      </c>
      <c r="E296" s="1">
        <v>0.45138888888888895</v>
      </c>
      <c r="F296" s="3">
        <v>46126</v>
      </c>
    </row>
    <row r="297" spans="1:6" x14ac:dyDescent="0.3">
      <c r="A297" t="s">
        <v>25</v>
      </c>
      <c r="B297">
        <v>180</v>
      </c>
      <c r="C297" s="2">
        <v>9.9000000000000195E-4</v>
      </c>
      <c r="D297">
        <v>2.6164999999999998</v>
      </c>
      <c r="E297" s="1">
        <v>0.45208333333333339</v>
      </c>
      <c r="F297" s="3">
        <v>46126</v>
      </c>
    </row>
    <row r="298" spans="1:6" x14ac:dyDescent="0.3">
      <c r="A298" t="s">
        <v>26</v>
      </c>
      <c r="B298">
        <v>180</v>
      </c>
      <c r="C298" s="2">
        <v>1.0399999999999964E-3</v>
      </c>
      <c r="D298">
        <v>2.2791000000000001</v>
      </c>
      <c r="E298" s="1">
        <v>0.45208333333333339</v>
      </c>
      <c r="F298" s="3">
        <v>46126</v>
      </c>
    </row>
    <row r="299" spans="1:6" x14ac:dyDescent="0.3">
      <c r="A299" t="s">
        <v>27</v>
      </c>
      <c r="B299">
        <v>180</v>
      </c>
      <c r="C299" s="2">
        <v>8.849999999999802E-4</v>
      </c>
      <c r="D299">
        <v>2.9721000000000002</v>
      </c>
      <c r="E299" s="1">
        <v>0.45277777777777783</v>
      </c>
      <c r="F299" s="3">
        <v>46126</v>
      </c>
    </row>
    <row r="300" spans="1:6" x14ac:dyDescent="0.3">
      <c r="A300" t="s">
        <v>28</v>
      </c>
      <c r="B300">
        <v>180</v>
      </c>
      <c r="C300" s="2">
        <v>8.3500000000000794E-4</v>
      </c>
      <c r="D300">
        <v>2.3433999999999999</v>
      </c>
      <c r="E300" s="1">
        <v>0.45277777777777783</v>
      </c>
      <c r="F300" s="3">
        <v>46126</v>
      </c>
    </row>
    <row r="301" spans="1:6" x14ac:dyDescent="0.3">
      <c r="A301" t="s">
        <v>2</v>
      </c>
      <c r="B301">
        <v>180</v>
      </c>
      <c r="C301" s="2">
        <v>1.0649999999999826E-3</v>
      </c>
      <c r="D301">
        <v>3.2044000000000001</v>
      </c>
      <c r="E301" s="1">
        <v>0.45277777777777783</v>
      </c>
      <c r="F301" s="3">
        <v>46126</v>
      </c>
    </row>
    <row r="302" spans="1:6" x14ac:dyDescent="0.3">
      <c r="A302" t="s">
        <v>29</v>
      </c>
      <c r="B302">
        <v>180</v>
      </c>
      <c r="C302" s="2">
        <v>1.4149999999999996E-3</v>
      </c>
      <c r="D302">
        <v>1.8680000000000001</v>
      </c>
      <c r="E302" s="1">
        <v>0.45347222222222228</v>
      </c>
      <c r="F302" s="3">
        <v>46126</v>
      </c>
    </row>
    <row r="303" spans="1:6" x14ac:dyDescent="0.3">
      <c r="A303" t="s">
        <v>33</v>
      </c>
      <c r="B303">
        <v>200</v>
      </c>
      <c r="C303" s="2">
        <v>9.3000000000000862E-4</v>
      </c>
      <c r="D303">
        <v>2.2134999999999998</v>
      </c>
      <c r="E303" s="1">
        <v>0.46527777777777785</v>
      </c>
      <c r="F303" s="3">
        <v>46126</v>
      </c>
    </row>
    <row r="304" spans="1:6" x14ac:dyDescent="0.3">
      <c r="A304" t="s">
        <v>25</v>
      </c>
      <c r="B304">
        <v>200</v>
      </c>
      <c r="C304" s="2">
        <v>9.9499999999999025E-4</v>
      </c>
      <c r="D304">
        <v>2.5966</v>
      </c>
      <c r="E304" s="1">
        <v>0.46597222222222229</v>
      </c>
      <c r="F304" s="3">
        <v>46126</v>
      </c>
    </row>
    <row r="305" spans="1:6" x14ac:dyDescent="0.3">
      <c r="A305" t="s">
        <v>26</v>
      </c>
      <c r="B305">
        <v>200</v>
      </c>
      <c r="C305" s="2">
        <v>1.1449999999999961E-3</v>
      </c>
      <c r="D305">
        <v>2.2562000000000002</v>
      </c>
      <c r="E305" s="1">
        <v>0.46597222222222229</v>
      </c>
      <c r="F305" s="3">
        <v>46126</v>
      </c>
    </row>
    <row r="306" spans="1:6" x14ac:dyDescent="0.3">
      <c r="A306" t="s">
        <v>27</v>
      </c>
      <c r="B306">
        <v>200</v>
      </c>
      <c r="C306" s="2">
        <v>9.4500000000001809E-4</v>
      </c>
      <c r="D306">
        <v>2.9531999999999998</v>
      </c>
      <c r="E306" s="1">
        <v>0.46666666666666673</v>
      </c>
      <c r="F306" s="3">
        <v>46126</v>
      </c>
    </row>
    <row r="307" spans="1:6" x14ac:dyDescent="0.3">
      <c r="A307" t="s">
        <v>28</v>
      </c>
      <c r="B307">
        <v>200</v>
      </c>
      <c r="C307" s="2">
        <v>8.8999999999999084E-4</v>
      </c>
      <c r="D307">
        <v>2.3256000000000001</v>
      </c>
      <c r="E307" s="1">
        <v>0.46666666666666673</v>
      </c>
      <c r="F307" s="3">
        <v>46126</v>
      </c>
    </row>
    <row r="308" spans="1:6" x14ac:dyDescent="0.3">
      <c r="A308" t="s">
        <v>2</v>
      </c>
      <c r="B308">
        <v>200</v>
      </c>
      <c r="C308" s="2">
        <v>1.1050000000000005E-3</v>
      </c>
      <c r="D308">
        <v>3.1823000000000001</v>
      </c>
      <c r="E308" s="1">
        <v>0.46666666666666673</v>
      </c>
      <c r="F308" s="3">
        <v>46126</v>
      </c>
    </row>
    <row r="309" spans="1:6" x14ac:dyDescent="0.3">
      <c r="A309" t="s">
        <v>29</v>
      </c>
      <c r="B309">
        <v>200</v>
      </c>
      <c r="C309" s="2">
        <v>1.5500000000000069E-3</v>
      </c>
      <c r="D309">
        <v>1.837</v>
      </c>
      <c r="E309" s="1">
        <v>0.46736111111111117</v>
      </c>
      <c r="F309" s="3">
        <v>46126</v>
      </c>
    </row>
    <row r="310" spans="1:6" x14ac:dyDescent="0.3">
      <c r="A310" t="s">
        <v>33</v>
      </c>
      <c r="B310">
        <v>220</v>
      </c>
      <c r="C310" s="2">
        <v>9.4999999999998417E-4</v>
      </c>
      <c r="D310">
        <v>2.1945000000000001</v>
      </c>
      <c r="E310" s="1">
        <v>0.47916666666666674</v>
      </c>
      <c r="F310" s="3">
        <v>46126</v>
      </c>
    </row>
    <row r="311" spans="1:6" x14ac:dyDescent="0.3">
      <c r="A311" t="s">
        <v>25</v>
      </c>
      <c r="B311">
        <v>220</v>
      </c>
      <c r="C311" s="2">
        <v>9.4000000000000745E-4</v>
      </c>
      <c r="D311">
        <v>2.5777999999999999</v>
      </c>
      <c r="E311" s="1">
        <v>0.47986111111111118</v>
      </c>
      <c r="F311" s="3">
        <v>46126</v>
      </c>
    </row>
    <row r="312" spans="1:6" x14ac:dyDescent="0.3">
      <c r="A312" t="s">
        <v>26</v>
      </c>
      <c r="B312">
        <v>220</v>
      </c>
      <c r="C312" s="2">
        <v>9.1000000000001084E-4</v>
      </c>
      <c r="D312">
        <v>2.238</v>
      </c>
      <c r="E312" s="1">
        <v>0.47986111111111118</v>
      </c>
      <c r="F312" s="3">
        <v>46126</v>
      </c>
    </row>
    <row r="313" spans="1:6" x14ac:dyDescent="0.3">
      <c r="A313" t="s">
        <v>27</v>
      </c>
      <c r="B313">
        <v>220</v>
      </c>
      <c r="C313" s="2">
        <v>7.5499999999999461E-4</v>
      </c>
      <c r="D313">
        <v>2.9380999999999999</v>
      </c>
      <c r="E313" s="1">
        <v>0.48055555555555562</v>
      </c>
      <c r="F313" s="3">
        <v>46126</v>
      </c>
    </row>
    <row r="314" spans="1:6" x14ac:dyDescent="0.3">
      <c r="A314" t="s">
        <v>28</v>
      </c>
      <c r="B314">
        <v>220</v>
      </c>
      <c r="C314" s="2">
        <v>6.1999999999999837E-4</v>
      </c>
      <c r="D314">
        <v>2.3132000000000001</v>
      </c>
      <c r="E314" s="1">
        <v>0.48055555555555562</v>
      </c>
      <c r="F314" s="3">
        <v>46126</v>
      </c>
    </row>
    <row r="315" spans="1:6" x14ac:dyDescent="0.3">
      <c r="A315" t="s">
        <v>2</v>
      </c>
      <c r="B315">
        <v>220</v>
      </c>
      <c r="C315" s="2">
        <v>8.6500000000000465E-4</v>
      </c>
      <c r="D315">
        <v>3.165</v>
      </c>
      <c r="E315" s="1">
        <v>0.48055555555555562</v>
      </c>
      <c r="F315" s="3">
        <v>46126</v>
      </c>
    </row>
    <row r="316" spans="1:6" x14ac:dyDescent="0.3">
      <c r="A316" t="s">
        <v>29</v>
      </c>
      <c r="B316">
        <v>220</v>
      </c>
      <c r="C316" s="2">
        <v>1.1249999999999982E-3</v>
      </c>
      <c r="D316">
        <v>1.8145</v>
      </c>
      <c r="E316" s="1">
        <v>0.48125000000000007</v>
      </c>
      <c r="F316" s="3">
        <v>46126</v>
      </c>
    </row>
    <row r="317" spans="1:6" x14ac:dyDescent="0.3">
      <c r="A317" t="s">
        <v>33</v>
      </c>
      <c r="B317">
        <v>240</v>
      </c>
      <c r="C317" s="2">
        <v>8.8000000000001413E-4</v>
      </c>
      <c r="D317">
        <v>2.1768999999999998</v>
      </c>
      <c r="E317" s="1">
        <v>0.49305555555555564</v>
      </c>
      <c r="F317" s="3">
        <v>46126</v>
      </c>
    </row>
    <row r="318" spans="1:6" x14ac:dyDescent="0.3">
      <c r="A318" t="s">
        <v>25</v>
      </c>
      <c r="B318">
        <v>240</v>
      </c>
      <c r="C318" s="2">
        <v>9.3999999999998534E-4</v>
      </c>
      <c r="D318">
        <v>2.5590000000000002</v>
      </c>
      <c r="E318" s="1">
        <v>0.49375000000000008</v>
      </c>
      <c r="F318" s="3">
        <v>46126</v>
      </c>
    </row>
    <row r="319" spans="1:6" x14ac:dyDescent="0.3">
      <c r="A319" t="s">
        <v>26</v>
      </c>
      <c r="B319">
        <v>240</v>
      </c>
      <c r="C319" s="2">
        <v>9.7499999999999258E-4</v>
      </c>
      <c r="D319">
        <v>2.2185000000000001</v>
      </c>
      <c r="E319" s="1">
        <v>0.49375000000000008</v>
      </c>
      <c r="F319" s="3">
        <v>46126</v>
      </c>
    </row>
    <row r="320" spans="1:6" x14ac:dyDescent="0.3">
      <c r="A320" t="s">
        <v>27</v>
      </c>
      <c r="B320">
        <v>240</v>
      </c>
      <c r="C320" s="2">
        <v>1.0750000000000037E-3</v>
      </c>
      <c r="D320">
        <v>2.9165999999999999</v>
      </c>
      <c r="E320" s="1">
        <v>0.49444444444444452</v>
      </c>
      <c r="F320" s="3">
        <v>46126</v>
      </c>
    </row>
    <row r="321" spans="1:6" x14ac:dyDescent="0.3">
      <c r="A321" t="s">
        <v>28</v>
      </c>
      <c r="B321">
        <v>240</v>
      </c>
      <c r="C321" s="2">
        <v>8.2999999999999741E-4</v>
      </c>
      <c r="D321">
        <v>2.2966000000000002</v>
      </c>
      <c r="E321" s="1">
        <v>0.49444444444444452</v>
      </c>
      <c r="F321" s="3">
        <v>46126</v>
      </c>
    </row>
    <row r="322" spans="1:6" x14ac:dyDescent="0.3">
      <c r="A322" t="s">
        <v>2</v>
      </c>
      <c r="B322">
        <v>240</v>
      </c>
      <c r="C322" s="2">
        <v>1.0250000000000092E-3</v>
      </c>
      <c r="D322">
        <v>3.1444999999999999</v>
      </c>
      <c r="E322" s="1">
        <v>0.49444444444444452</v>
      </c>
      <c r="F322" s="3">
        <v>46126</v>
      </c>
    </row>
    <row r="323" spans="1:6" x14ac:dyDescent="0.3">
      <c r="A323" t="s">
        <v>29</v>
      </c>
      <c r="B323">
        <v>240</v>
      </c>
      <c r="C323" s="2">
        <v>1.385000000000003E-3</v>
      </c>
      <c r="D323">
        <v>1.7867999999999999</v>
      </c>
      <c r="E323" s="1">
        <v>0.49513888888888896</v>
      </c>
      <c r="F323" s="3">
        <v>46126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314-91CE-4684-9C1B-1CF245F60102}">
  <dimension ref="A1:F93"/>
  <sheetViews>
    <sheetView topLeftCell="A67" workbookViewId="0">
      <selection activeCell="C10" sqref="C10"/>
    </sheetView>
  </sheetViews>
  <sheetFormatPr baseColWidth="10" defaultRowHeight="14.4" x14ac:dyDescent="0.3"/>
  <cols>
    <col min="3" max="3" width="17.44140625" customWidth="1"/>
  </cols>
  <sheetData>
    <row r="1" spans="1:6" x14ac:dyDescent="0.3">
      <c r="A1" t="s">
        <v>24</v>
      </c>
      <c r="B1" t="s">
        <v>21</v>
      </c>
      <c r="C1" t="s">
        <v>22</v>
      </c>
      <c r="D1" t="s">
        <v>19</v>
      </c>
      <c r="E1" t="s">
        <v>8</v>
      </c>
      <c r="F1" t="s">
        <v>20</v>
      </c>
    </row>
    <row r="2" spans="1:6" x14ac:dyDescent="0.3">
      <c r="A2" t="s">
        <v>12</v>
      </c>
      <c r="B2" t="s">
        <v>11</v>
      </c>
      <c r="C2" s="4">
        <f t="shared" ref="C2:C8" si="0">D2</f>
        <v>2.8062</v>
      </c>
      <c r="D2">
        <v>2.8062</v>
      </c>
      <c r="E2" s="1">
        <v>0.31527777777777777</v>
      </c>
      <c r="F2" s="3">
        <v>46122</v>
      </c>
    </row>
    <row r="3" spans="1:6" x14ac:dyDescent="0.3">
      <c r="A3" t="s">
        <v>13</v>
      </c>
      <c r="B3" t="s">
        <v>11</v>
      </c>
      <c r="C3" s="4">
        <f t="shared" si="0"/>
        <v>4.7855999999999996</v>
      </c>
      <c r="D3">
        <v>4.7855999999999996</v>
      </c>
      <c r="E3" s="1">
        <v>0.31666666666666665</v>
      </c>
      <c r="F3" s="3">
        <v>46122</v>
      </c>
    </row>
    <row r="4" spans="1:6" x14ac:dyDescent="0.3">
      <c r="A4" t="s">
        <v>14</v>
      </c>
      <c r="B4" t="s">
        <v>11</v>
      </c>
      <c r="C4" s="4">
        <f t="shared" si="0"/>
        <v>3.2509000000000001</v>
      </c>
      <c r="D4">
        <v>3.2509000000000001</v>
      </c>
      <c r="E4" s="1">
        <v>0.31944444444444442</v>
      </c>
      <c r="F4" s="3">
        <v>46122</v>
      </c>
    </row>
    <row r="5" spans="1:6" x14ac:dyDescent="0.3">
      <c r="A5" t="s">
        <v>15</v>
      </c>
      <c r="B5" t="s">
        <v>11</v>
      </c>
      <c r="C5" s="4">
        <f t="shared" si="0"/>
        <v>2.6770999999999998</v>
      </c>
      <c r="D5">
        <v>2.6770999999999998</v>
      </c>
      <c r="E5" s="1">
        <v>0.32083333333333336</v>
      </c>
      <c r="F5" s="3">
        <v>46122</v>
      </c>
    </row>
    <row r="6" spans="1:6" x14ac:dyDescent="0.3">
      <c r="A6" t="s">
        <v>16</v>
      </c>
      <c r="B6" t="s">
        <v>11</v>
      </c>
      <c r="C6" s="4">
        <f t="shared" si="0"/>
        <v>2.4493999999999998</v>
      </c>
      <c r="D6">
        <v>2.4493999999999998</v>
      </c>
      <c r="E6" s="1">
        <v>0.32291666666666669</v>
      </c>
      <c r="F6" s="3">
        <v>46122</v>
      </c>
    </row>
    <row r="7" spans="1:6" x14ac:dyDescent="0.3">
      <c r="A7" t="s">
        <v>17</v>
      </c>
      <c r="B7" t="s">
        <v>11</v>
      </c>
      <c r="C7" s="4">
        <f t="shared" si="0"/>
        <v>3.6856</v>
      </c>
      <c r="D7">
        <v>3.6856</v>
      </c>
      <c r="E7" s="1">
        <v>0.32430555555555557</v>
      </c>
      <c r="F7" s="3">
        <v>46122</v>
      </c>
    </row>
    <row r="8" spans="1:6" x14ac:dyDescent="0.3">
      <c r="A8" t="s">
        <v>18</v>
      </c>
      <c r="B8" t="s">
        <v>11</v>
      </c>
      <c r="C8" s="4">
        <f t="shared" si="0"/>
        <v>3.0478999999999998</v>
      </c>
      <c r="D8">
        <v>3.0478999999999998</v>
      </c>
      <c r="E8" s="1">
        <v>0.32500000000000001</v>
      </c>
      <c r="F8" s="3">
        <v>46122</v>
      </c>
    </row>
    <row r="9" spans="1:6" x14ac:dyDescent="0.3">
      <c r="A9" t="s">
        <v>12</v>
      </c>
      <c r="B9">
        <v>0</v>
      </c>
      <c r="C9" s="4">
        <f t="shared" ref="C9:C40" si="1">(D2-D9)/20</f>
        <v>4.4499999999999982E-3</v>
      </c>
      <c r="D9">
        <v>2.7172000000000001</v>
      </c>
      <c r="E9" s="1">
        <f>E2+(20/1440)</f>
        <v>0.32916666666666666</v>
      </c>
      <c r="F9" s="3">
        <v>46122</v>
      </c>
    </row>
    <row r="10" spans="1:6" x14ac:dyDescent="0.3">
      <c r="A10" t="s">
        <v>13</v>
      </c>
      <c r="B10">
        <v>0</v>
      </c>
      <c r="C10" s="4">
        <f t="shared" si="1"/>
        <v>5.2549999999999654E-3</v>
      </c>
      <c r="D10">
        <v>4.6805000000000003</v>
      </c>
      <c r="E10" s="1">
        <f>E3+(20/1440)</f>
        <v>0.33055555555555555</v>
      </c>
      <c r="F10" s="3">
        <v>46122</v>
      </c>
    </row>
    <row r="11" spans="1:6" x14ac:dyDescent="0.3">
      <c r="A11" t="s">
        <v>14</v>
      </c>
      <c r="B11">
        <v>0</v>
      </c>
      <c r="C11" s="4">
        <f t="shared" si="1"/>
        <v>4.8350000000000112E-3</v>
      </c>
      <c r="D11">
        <v>3.1541999999999999</v>
      </c>
      <c r="E11" s="1">
        <v>0.33055555555555555</v>
      </c>
      <c r="F11" s="3">
        <v>46122</v>
      </c>
    </row>
    <row r="12" spans="1:6" x14ac:dyDescent="0.3">
      <c r="A12" t="s">
        <v>15</v>
      </c>
      <c r="B12">
        <v>0</v>
      </c>
      <c r="C12" s="4">
        <f t="shared" si="1"/>
        <v>3.094999999999981E-3</v>
      </c>
      <c r="D12">
        <v>2.6152000000000002</v>
      </c>
      <c r="E12" s="1">
        <f>E5+(20/1440)</f>
        <v>0.33472222222222225</v>
      </c>
      <c r="F12" s="3">
        <v>46122</v>
      </c>
    </row>
    <row r="13" spans="1:6" x14ac:dyDescent="0.3">
      <c r="A13" t="s">
        <v>16</v>
      </c>
      <c r="B13">
        <v>0</v>
      </c>
      <c r="C13" s="4">
        <f t="shared" si="1"/>
        <v>2.0649999999999835E-3</v>
      </c>
      <c r="D13">
        <v>2.4081000000000001</v>
      </c>
      <c r="E13" s="1">
        <f>E6+(20/1440)</f>
        <v>0.33680555555555558</v>
      </c>
      <c r="F13" s="3">
        <v>46122</v>
      </c>
    </row>
    <row r="14" spans="1:6" x14ac:dyDescent="0.3">
      <c r="A14" t="s">
        <v>17</v>
      </c>
      <c r="B14">
        <v>0</v>
      </c>
      <c r="C14" s="5">
        <f t="shared" si="1"/>
        <v>3.2799999999999939E-3</v>
      </c>
      <c r="D14">
        <v>3.62</v>
      </c>
      <c r="E14" s="1">
        <f>E7+(20/1440)</f>
        <v>0.33819444444444446</v>
      </c>
      <c r="F14" s="3">
        <v>46122</v>
      </c>
    </row>
    <row r="15" spans="1:6" x14ac:dyDescent="0.3">
      <c r="A15" t="s">
        <v>18</v>
      </c>
      <c r="B15">
        <v>0</v>
      </c>
      <c r="C15" s="4">
        <f t="shared" si="1"/>
        <v>2.8149999999999898E-3</v>
      </c>
      <c r="D15">
        <v>2.9916</v>
      </c>
      <c r="E15" s="1">
        <f>E8+(20/1440)</f>
        <v>0.33888888888888891</v>
      </c>
      <c r="F15" s="3">
        <v>46122</v>
      </c>
    </row>
    <row r="16" spans="1:6" x14ac:dyDescent="0.3">
      <c r="A16" t="s">
        <v>12</v>
      </c>
      <c r="B16">
        <v>20</v>
      </c>
      <c r="C16" s="4">
        <f t="shared" si="1"/>
        <v>2.3600000000000066E-3</v>
      </c>
      <c r="D16">
        <v>2.67</v>
      </c>
      <c r="E16" s="1">
        <f>E9+(20/1440)</f>
        <v>0.34305555555555556</v>
      </c>
      <c r="F16" s="3">
        <v>46122</v>
      </c>
    </row>
    <row r="17" spans="1:6" x14ac:dyDescent="0.3">
      <c r="A17" t="s">
        <v>13</v>
      </c>
      <c r="B17">
        <v>20</v>
      </c>
      <c r="C17" s="4">
        <f t="shared" si="1"/>
        <v>3.4450000000000093E-3</v>
      </c>
      <c r="D17">
        <v>4.6116000000000001</v>
      </c>
      <c r="E17" s="1">
        <f t="shared" ref="E17:E80" si="2">E10+(20/1440)</f>
        <v>0.34444444444444444</v>
      </c>
      <c r="F17" s="3">
        <v>46122</v>
      </c>
    </row>
    <row r="18" spans="1:6" x14ac:dyDescent="0.3">
      <c r="A18" t="s">
        <v>14</v>
      </c>
      <c r="B18">
        <v>20</v>
      </c>
      <c r="C18" s="4">
        <f t="shared" si="1"/>
        <v>3.3150000000000011E-3</v>
      </c>
      <c r="D18">
        <v>3.0878999999999999</v>
      </c>
      <c r="E18" s="1">
        <f t="shared" si="2"/>
        <v>0.34444444444444444</v>
      </c>
      <c r="F18" s="3">
        <v>46122</v>
      </c>
    </row>
    <row r="19" spans="1:6" x14ac:dyDescent="0.3">
      <c r="A19" t="s">
        <v>15</v>
      </c>
      <c r="B19">
        <v>20</v>
      </c>
      <c r="C19" s="4">
        <f t="shared" si="1"/>
        <v>1.0050000000000115E-3</v>
      </c>
      <c r="D19">
        <v>2.5951</v>
      </c>
      <c r="E19" s="1">
        <f t="shared" si="2"/>
        <v>0.34861111111111115</v>
      </c>
      <c r="F19" s="3">
        <v>46122</v>
      </c>
    </row>
    <row r="20" spans="1:6" x14ac:dyDescent="0.3">
      <c r="A20" t="s">
        <v>16</v>
      </c>
      <c r="B20">
        <v>20</v>
      </c>
      <c r="C20" s="4">
        <f t="shared" si="1"/>
        <v>1.0199999999999988E-3</v>
      </c>
      <c r="D20">
        <v>2.3877000000000002</v>
      </c>
      <c r="E20" s="1">
        <f t="shared" si="2"/>
        <v>0.35069444444444448</v>
      </c>
      <c r="F20" s="3">
        <v>46122</v>
      </c>
    </row>
    <row r="21" spans="1:6" x14ac:dyDescent="0.3">
      <c r="A21" t="s">
        <v>17</v>
      </c>
      <c r="B21">
        <v>20</v>
      </c>
      <c r="C21" s="5">
        <f t="shared" si="1"/>
        <v>1.705000000000001E-3</v>
      </c>
      <c r="D21">
        <v>3.5859000000000001</v>
      </c>
      <c r="E21" s="1">
        <f t="shared" si="2"/>
        <v>0.35208333333333336</v>
      </c>
      <c r="F21" s="3">
        <v>46122</v>
      </c>
    </row>
    <row r="22" spans="1:6" x14ac:dyDescent="0.3">
      <c r="A22" t="s">
        <v>18</v>
      </c>
      <c r="B22">
        <v>20</v>
      </c>
      <c r="C22" s="4">
        <f t="shared" si="1"/>
        <v>1.4350000000000085E-3</v>
      </c>
      <c r="D22">
        <v>2.9628999999999999</v>
      </c>
      <c r="E22" s="1">
        <f t="shared" si="2"/>
        <v>0.3527777777777778</v>
      </c>
      <c r="F22" s="3">
        <v>46122</v>
      </c>
    </row>
    <row r="23" spans="1:6" x14ac:dyDescent="0.3">
      <c r="A23" t="s">
        <v>12</v>
      </c>
      <c r="B23">
        <v>40</v>
      </c>
      <c r="C23" s="4">
        <f t="shared" si="1"/>
        <v>1.8550000000000066E-3</v>
      </c>
      <c r="D23">
        <v>2.6328999999999998</v>
      </c>
      <c r="E23" s="1">
        <f t="shared" si="2"/>
        <v>0.35694444444444445</v>
      </c>
      <c r="F23" s="3">
        <v>46122</v>
      </c>
    </row>
    <row r="24" spans="1:6" x14ac:dyDescent="0.3">
      <c r="A24" t="s">
        <v>13</v>
      </c>
      <c r="B24">
        <v>40</v>
      </c>
      <c r="C24" s="4">
        <f t="shared" si="1"/>
        <v>2.6600000000000178E-3</v>
      </c>
      <c r="D24">
        <v>4.5583999999999998</v>
      </c>
      <c r="E24" s="1">
        <f t="shared" si="2"/>
        <v>0.35833333333333334</v>
      </c>
      <c r="F24" s="3">
        <v>46122</v>
      </c>
    </row>
    <row r="25" spans="1:6" x14ac:dyDescent="0.3">
      <c r="A25" t="s">
        <v>14</v>
      </c>
      <c r="B25">
        <v>40</v>
      </c>
      <c r="C25" s="4">
        <f t="shared" si="1"/>
        <v>2.3949999999999918E-3</v>
      </c>
      <c r="D25">
        <v>3.04</v>
      </c>
      <c r="E25" s="1">
        <f t="shared" si="2"/>
        <v>0.35833333333333334</v>
      </c>
      <c r="F25" s="3">
        <v>46122</v>
      </c>
    </row>
    <row r="26" spans="1:6" x14ac:dyDescent="0.3">
      <c r="A26" t="s">
        <v>15</v>
      </c>
      <c r="B26">
        <v>40</v>
      </c>
      <c r="C26" s="4">
        <f t="shared" si="1"/>
        <v>9.6000000000000534E-4</v>
      </c>
      <c r="D26">
        <v>2.5758999999999999</v>
      </c>
      <c r="E26" s="1">
        <f t="shared" si="2"/>
        <v>0.36250000000000004</v>
      </c>
      <c r="F26" s="3">
        <v>46122</v>
      </c>
    </row>
    <row r="27" spans="1:6" x14ac:dyDescent="0.3">
      <c r="A27" t="s">
        <v>16</v>
      </c>
      <c r="B27">
        <v>40</v>
      </c>
      <c r="C27" s="4">
        <f t="shared" si="1"/>
        <v>1.1050000000000005E-3</v>
      </c>
      <c r="D27">
        <v>2.3656000000000001</v>
      </c>
      <c r="E27" s="1">
        <f t="shared" si="2"/>
        <v>0.36458333333333337</v>
      </c>
      <c r="F27" s="3">
        <v>46122</v>
      </c>
    </row>
    <row r="28" spans="1:6" x14ac:dyDescent="0.3">
      <c r="A28" t="s">
        <v>17</v>
      </c>
      <c r="B28">
        <v>40</v>
      </c>
      <c r="C28" s="5">
        <f t="shared" si="1"/>
        <v>1.7100000000000114E-3</v>
      </c>
      <c r="D28">
        <v>3.5516999999999999</v>
      </c>
      <c r="E28" s="1">
        <f t="shared" si="2"/>
        <v>0.36597222222222225</v>
      </c>
      <c r="F28" s="3">
        <v>46122</v>
      </c>
    </row>
    <row r="29" spans="1:6" x14ac:dyDescent="0.3">
      <c r="A29" t="s">
        <v>18</v>
      </c>
      <c r="B29">
        <v>40</v>
      </c>
      <c r="C29" s="4">
        <f t="shared" si="1"/>
        <v>1.2950000000000017E-3</v>
      </c>
      <c r="D29">
        <v>2.9369999999999998</v>
      </c>
      <c r="E29" s="1">
        <f t="shared" si="2"/>
        <v>0.3666666666666667</v>
      </c>
      <c r="F29" s="3">
        <v>46122</v>
      </c>
    </row>
    <row r="30" spans="1:6" x14ac:dyDescent="0.3">
      <c r="A30" t="s">
        <v>12</v>
      </c>
      <c r="B30">
        <v>60</v>
      </c>
      <c r="C30" s="4">
        <f t="shared" si="1"/>
        <v>2.0349999999999869E-3</v>
      </c>
      <c r="D30">
        <v>2.5922000000000001</v>
      </c>
      <c r="E30" s="1">
        <f t="shared" si="2"/>
        <v>0.37083333333333335</v>
      </c>
      <c r="F30" s="3">
        <v>46122</v>
      </c>
    </row>
    <row r="31" spans="1:6" x14ac:dyDescent="0.3">
      <c r="A31" t="s">
        <v>13</v>
      </c>
      <c r="B31">
        <v>60</v>
      </c>
      <c r="C31" s="4">
        <f t="shared" si="1"/>
        <v>2.8599999999999958E-3</v>
      </c>
      <c r="D31">
        <v>4.5011999999999999</v>
      </c>
      <c r="E31" s="1">
        <f t="shared" si="2"/>
        <v>0.37222222222222223</v>
      </c>
      <c r="F31" s="3">
        <v>46122</v>
      </c>
    </row>
    <row r="32" spans="1:6" x14ac:dyDescent="0.3">
      <c r="A32" t="s">
        <v>14</v>
      </c>
      <c r="B32">
        <v>60</v>
      </c>
      <c r="C32" s="4">
        <f t="shared" si="1"/>
        <v>2.3800000000000045E-3</v>
      </c>
      <c r="D32">
        <v>2.9923999999999999</v>
      </c>
      <c r="E32" s="1">
        <f t="shared" si="2"/>
        <v>0.37222222222222223</v>
      </c>
      <c r="F32" s="3">
        <v>46122</v>
      </c>
    </row>
    <row r="33" spans="1:6" x14ac:dyDescent="0.3">
      <c r="A33" t="s">
        <v>15</v>
      </c>
      <c r="B33">
        <v>60</v>
      </c>
      <c r="C33" s="4">
        <f t="shared" si="1"/>
        <v>9.4499999999999587E-4</v>
      </c>
      <c r="D33">
        <v>2.5569999999999999</v>
      </c>
      <c r="E33" s="1">
        <f t="shared" si="2"/>
        <v>0.37638888888888894</v>
      </c>
      <c r="F33" s="3">
        <v>46122</v>
      </c>
    </row>
    <row r="34" spans="1:6" x14ac:dyDescent="0.3">
      <c r="A34" t="s">
        <v>16</v>
      </c>
      <c r="B34">
        <v>60</v>
      </c>
      <c r="C34" s="4">
        <f t="shared" si="1"/>
        <v>8.7000000000001518E-4</v>
      </c>
      <c r="D34">
        <v>2.3481999999999998</v>
      </c>
      <c r="E34" s="1">
        <f t="shared" si="2"/>
        <v>0.37847222222222227</v>
      </c>
      <c r="F34" s="3">
        <v>46122</v>
      </c>
    </row>
    <row r="35" spans="1:6" x14ac:dyDescent="0.3">
      <c r="A35" t="s">
        <v>17</v>
      </c>
      <c r="B35">
        <v>60</v>
      </c>
      <c r="C35" s="5">
        <f t="shared" si="1"/>
        <v>1.5800000000000037E-3</v>
      </c>
      <c r="D35">
        <v>3.5200999999999998</v>
      </c>
      <c r="E35" s="1">
        <f t="shared" si="2"/>
        <v>0.37986111111111115</v>
      </c>
      <c r="F35" s="3">
        <v>46122</v>
      </c>
    </row>
    <row r="36" spans="1:6" x14ac:dyDescent="0.3">
      <c r="A36" t="s">
        <v>18</v>
      </c>
      <c r="B36">
        <v>60</v>
      </c>
      <c r="C36" s="4">
        <f t="shared" si="1"/>
        <v>1.0749999999999816E-3</v>
      </c>
      <c r="D36">
        <v>2.9155000000000002</v>
      </c>
      <c r="E36" s="1">
        <f t="shared" si="2"/>
        <v>0.38055555555555559</v>
      </c>
      <c r="F36" s="3">
        <v>46122</v>
      </c>
    </row>
    <row r="37" spans="1:6" x14ac:dyDescent="0.3">
      <c r="A37" t="s">
        <v>12</v>
      </c>
      <c r="B37">
        <v>80</v>
      </c>
      <c r="C37" s="4">
        <f t="shared" si="1"/>
        <v>1.8100000000000004E-3</v>
      </c>
      <c r="D37">
        <v>2.556</v>
      </c>
      <c r="E37" s="1">
        <f t="shared" si="2"/>
        <v>0.38472222222222224</v>
      </c>
      <c r="F37" s="3">
        <v>46122</v>
      </c>
    </row>
    <row r="38" spans="1:6" x14ac:dyDescent="0.3">
      <c r="A38" t="s">
        <v>13</v>
      </c>
      <c r="B38">
        <v>80</v>
      </c>
      <c r="C38" s="4">
        <f t="shared" si="1"/>
        <v>2.9599999999999848E-3</v>
      </c>
      <c r="D38">
        <v>4.4420000000000002</v>
      </c>
      <c r="E38" s="1">
        <f t="shared" si="2"/>
        <v>0.38611111111111113</v>
      </c>
      <c r="F38" s="3">
        <v>46122</v>
      </c>
    </row>
    <row r="39" spans="1:6" x14ac:dyDescent="0.3">
      <c r="A39" t="s">
        <v>14</v>
      </c>
      <c r="B39">
        <v>80</v>
      </c>
      <c r="C39" s="4">
        <f t="shared" si="1"/>
        <v>2.0799999999999929E-3</v>
      </c>
      <c r="D39">
        <v>2.9508000000000001</v>
      </c>
      <c r="E39" s="1">
        <f t="shared" si="2"/>
        <v>0.38611111111111113</v>
      </c>
      <c r="F39" s="3">
        <v>46122</v>
      </c>
    </row>
    <row r="40" spans="1:6" x14ac:dyDescent="0.3">
      <c r="A40" t="s">
        <v>15</v>
      </c>
      <c r="B40">
        <v>80</v>
      </c>
      <c r="C40" s="4">
        <f t="shared" si="1"/>
        <v>1.0299999999999975E-3</v>
      </c>
      <c r="D40">
        <v>2.5364</v>
      </c>
      <c r="E40" s="1">
        <f t="shared" si="2"/>
        <v>0.39027777777777783</v>
      </c>
      <c r="F40" s="3">
        <v>46122</v>
      </c>
    </row>
    <row r="41" spans="1:6" x14ac:dyDescent="0.3">
      <c r="A41" t="s">
        <v>16</v>
      </c>
      <c r="B41">
        <v>80</v>
      </c>
      <c r="C41" s="4">
        <f t="shared" ref="C41:C71" si="3">(D34-D41)/20</f>
        <v>9.9499999999999025E-4</v>
      </c>
      <c r="D41">
        <v>2.3283</v>
      </c>
      <c r="E41" s="1">
        <f t="shared" si="2"/>
        <v>0.39236111111111116</v>
      </c>
      <c r="F41" s="3">
        <v>46122</v>
      </c>
    </row>
    <row r="42" spans="1:6" x14ac:dyDescent="0.3">
      <c r="A42" t="s">
        <v>17</v>
      </c>
      <c r="B42">
        <v>80</v>
      </c>
      <c r="C42" s="5">
        <f t="shared" si="3"/>
        <v>1.5749999999999931E-3</v>
      </c>
      <c r="D42">
        <v>3.4885999999999999</v>
      </c>
      <c r="E42" s="1">
        <f t="shared" si="2"/>
        <v>0.39375000000000004</v>
      </c>
      <c r="F42" s="3">
        <v>46122</v>
      </c>
    </row>
    <row r="43" spans="1:6" x14ac:dyDescent="0.3">
      <c r="A43" t="s">
        <v>18</v>
      </c>
      <c r="B43">
        <v>80</v>
      </c>
      <c r="C43" s="4">
        <f t="shared" si="3"/>
        <v>1.0350000000000081E-3</v>
      </c>
      <c r="D43">
        <v>2.8948</v>
      </c>
      <c r="E43" s="1">
        <f t="shared" si="2"/>
        <v>0.39444444444444449</v>
      </c>
      <c r="F43" s="3">
        <v>46122</v>
      </c>
    </row>
    <row r="44" spans="1:6" x14ac:dyDescent="0.3">
      <c r="A44" t="s">
        <v>12</v>
      </c>
      <c r="B44">
        <v>100</v>
      </c>
      <c r="C44" s="4">
        <f t="shared" si="3"/>
        <v>1.7000000000000127E-3</v>
      </c>
      <c r="D44">
        <v>2.5219999999999998</v>
      </c>
      <c r="E44" s="1">
        <f t="shared" si="2"/>
        <v>0.39861111111111114</v>
      </c>
      <c r="F44" s="3">
        <v>46122</v>
      </c>
    </row>
    <row r="45" spans="1:6" x14ac:dyDescent="0.3">
      <c r="A45" t="s">
        <v>13</v>
      </c>
      <c r="B45">
        <v>100</v>
      </c>
      <c r="C45" s="4">
        <f t="shared" si="3"/>
        <v>3.8300000000000001E-3</v>
      </c>
      <c r="D45">
        <v>4.3654000000000002</v>
      </c>
      <c r="E45" s="1">
        <f t="shared" si="2"/>
        <v>0.4</v>
      </c>
      <c r="F45" s="3">
        <v>46122</v>
      </c>
    </row>
    <row r="46" spans="1:6" x14ac:dyDescent="0.3">
      <c r="A46" t="s">
        <v>14</v>
      </c>
      <c r="B46">
        <v>100</v>
      </c>
      <c r="C46" s="4">
        <f t="shared" si="3"/>
        <v>2.134999999999998E-3</v>
      </c>
      <c r="D46">
        <v>2.9081000000000001</v>
      </c>
      <c r="E46" s="1">
        <f t="shared" si="2"/>
        <v>0.4</v>
      </c>
      <c r="F46" s="3">
        <v>46122</v>
      </c>
    </row>
    <row r="47" spans="1:6" x14ac:dyDescent="0.3">
      <c r="A47" t="s">
        <v>15</v>
      </c>
      <c r="B47">
        <v>100</v>
      </c>
      <c r="C47" s="4">
        <f t="shared" si="3"/>
        <v>8.4500000000000688E-4</v>
      </c>
      <c r="D47">
        <v>2.5194999999999999</v>
      </c>
      <c r="E47" s="1">
        <f t="shared" si="2"/>
        <v>0.40416666666666673</v>
      </c>
      <c r="F47" s="3">
        <v>46122</v>
      </c>
    </row>
    <row r="48" spans="1:6" x14ac:dyDescent="0.3">
      <c r="A48" t="s">
        <v>16</v>
      </c>
      <c r="B48">
        <v>100</v>
      </c>
      <c r="C48" s="4">
        <f t="shared" si="3"/>
        <v>8.8999999999999084E-4</v>
      </c>
      <c r="D48">
        <v>2.3105000000000002</v>
      </c>
      <c r="E48" s="1">
        <f t="shared" si="2"/>
        <v>0.40625000000000006</v>
      </c>
      <c r="F48" s="3">
        <v>46122</v>
      </c>
    </row>
    <row r="49" spans="1:6" x14ac:dyDescent="0.3">
      <c r="A49" t="s">
        <v>17</v>
      </c>
      <c r="B49">
        <v>100</v>
      </c>
      <c r="C49" s="5">
        <f t="shared" si="3"/>
        <v>1.6349999999999865E-3</v>
      </c>
      <c r="D49">
        <v>3.4559000000000002</v>
      </c>
      <c r="E49" s="1">
        <f t="shared" si="2"/>
        <v>0.40763888888888894</v>
      </c>
      <c r="F49" s="3">
        <v>46122</v>
      </c>
    </row>
    <row r="50" spans="1:6" x14ac:dyDescent="0.3">
      <c r="A50" t="s">
        <v>18</v>
      </c>
      <c r="B50">
        <v>100</v>
      </c>
      <c r="C50" s="4">
        <f t="shared" si="3"/>
        <v>9.1000000000001084E-4</v>
      </c>
      <c r="D50">
        <v>2.8765999999999998</v>
      </c>
      <c r="E50" s="1">
        <f t="shared" si="2"/>
        <v>0.40833333333333338</v>
      </c>
      <c r="F50" s="3">
        <v>46122</v>
      </c>
    </row>
    <row r="51" spans="1:6" x14ac:dyDescent="0.3">
      <c r="A51" t="s">
        <v>12</v>
      </c>
      <c r="B51">
        <v>120</v>
      </c>
      <c r="C51" s="4">
        <f t="shared" si="3"/>
        <v>1.6999999999999904E-3</v>
      </c>
      <c r="D51">
        <v>2.488</v>
      </c>
      <c r="E51" s="1">
        <f t="shared" si="2"/>
        <v>0.41250000000000003</v>
      </c>
      <c r="F51" s="3">
        <v>46122</v>
      </c>
    </row>
    <row r="52" spans="1:6" x14ac:dyDescent="0.3">
      <c r="A52" t="s">
        <v>13</v>
      </c>
      <c r="B52">
        <v>120</v>
      </c>
      <c r="C52" s="4">
        <f t="shared" si="3"/>
        <v>2.9850000000000154E-3</v>
      </c>
      <c r="D52">
        <v>4.3056999999999999</v>
      </c>
      <c r="E52" s="1">
        <f t="shared" si="2"/>
        <v>0.41388888888888892</v>
      </c>
      <c r="F52" s="3">
        <v>46122</v>
      </c>
    </row>
    <row r="53" spans="1:6" x14ac:dyDescent="0.3">
      <c r="A53" t="s">
        <v>14</v>
      </c>
      <c r="B53">
        <v>120</v>
      </c>
      <c r="C53" s="4">
        <f t="shared" si="3"/>
        <v>2.0100000000000005E-3</v>
      </c>
      <c r="D53">
        <v>2.8679000000000001</v>
      </c>
      <c r="E53" s="1">
        <f t="shared" si="2"/>
        <v>0.41388888888888892</v>
      </c>
      <c r="F53" s="3">
        <v>46122</v>
      </c>
    </row>
    <row r="54" spans="1:6" x14ac:dyDescent="0.3">
      <c r="A54" t="s">
        <v>15</v>
      </c>
      <c r="B54">
        <v>120</v>
      </c>
      <c r="C54" s="4">
        <f t="shared" si="3"/>
        <v>8.9500000000000137E-4</v>
      </c>
      <c r="D54">
        <v>2.5015999999999998</v>
      </c>
      <c r="E54" s="1">
        <f t="shared" si="2"/>
        <v>0.41805555555555562</v>
      </c>
      <c r="F54" s="3">
        <v>46122</v>
      </c>
    </row>
    <row r="55" spans="1:6" x14ac:dyDescent="0.3">
      <c r="A55" t="s">
        <v>16</v>
      </c>
      <c r="B55">
        <v>120</v>
      </c>
      <c r="C55" s="4">
        <f t="shared" si="3"/>
        <v>9.3000000000000862E-4</v>
      </c>
      <c r="D55">
        <v>2.2919</v>
      </c>
      <c r="E55" s="1">
        <f t="shared" si="2"/>
        <v>0.42013888888888895</v>
      </c>
      <c r="F55" s="3">
        <v>46122</v>
      </c>
    </row>
    <row r="56" spans="1:6" x14ac:dyDescent="0.3">
      <c r="A56" t="s">
        <v>17</v>
      </c>
      <c r="B56">
        <v>120</v>
      </c>
      <c r="C56" s="5">
        <f t="shared" si="3"/>
        <v>1.5700000000000048E-3</v>
      </c>
      <c r="D56">
        <v>3.4245000000000001</v>
      </c>
      <c r="E56" s="1">
        <f t="shared" si="2"/>
        <v>0.42152777777777783</v>
      </c>
      <c r="F56" s="3">
        <v>46122</v>
      </c>
    </row>
    <row r="57" spans="1:6" x14ac:dyDescent="0.3">
      <c r="A57" t="s">
        <v>18</v>
      </c>
      <c r="B57">
        <v>120</v>
      </c>
      <c r="C57" s="4">
        <f t="shared" si="3"/>
        <v>9.1999999999998745E-4</v>
      </c>
      <c r="D57">
        <v>2.8582000000000001</v>
      </c>
      <c r="E57" s="1">
        <f t="shared" si="2"/>
        <v>0.42222222222222228</v>
      </c>
      <c r="F57" s="3">
        <v>46122</v>
      </c>
    </row>
    <row r="58" spans="1:6" x14ac:dyDescent="0.3">
      <c r="A58" t="s">
        <v>12</v>
      </c>
      <c r="B58">
        <v>140</v>
      </c>
      <c r="C58" s="4">
        <f t="shared" si="3"/>
        <v>1.6049999999999897E-3</v>
      </c>
      <c r="D58">
        <v>2.4559000000000002</v>
      </c>
      <c r="E58" s="1">
        <f t="shared" si="2"/>
        <v>0.42638888888888893</v>
      </c>
      <c r="F58" s="3">
        <v>46122</v>
      </c>
    </row>
    <row r="59" spans="1:6" x14ac:dyDescent="0.3">
      <c r="A59" t="s">
        <v>13</v>
      </c>
      <c r="B59">
        <v>140</v>
      </c>
      <c r="C59" s="4">
        <f t="shared" si="3"/>
        <v>2.6549999999999851E-3</v>
      </c>
      <c r="D59">
        <v>4.2526000000000002</v>
      </c>
      <c r="E59" s="1">
        <f t="shared" si="2"/>
        <v>0.42777777777777781</v>
      </c>
      <c r="F59" s="3">
        <v>46122</v>
      </c>
    </row>
    <row r="60" spans="1:6" x14ac:dyDescent="0.3">
      <c r="A60" t="s">
        <v>14</v>
      </c>
      <c r="B60">
        <v>140</v>
      </c>
      <c r="C60" s="4">
        <f t="shared" si="3"/>
        <v>4.0000000000000034E-4</v>
      </c>
      <c r="D60">
        <v>2.8599000000000001</v>
      </c>
      <c r="E60" s="1">
        <f t="shared" si="2"/>
        <v>0.42777777777777781</v>
      </c>
      <c r="F60" s="3">
        <v>46122</v>
      </c>
    </row>
    <row r="61" spans="1:6" x14ac:dyDescent="0.3">
      <c r="A61" t="s">
        <v>15</v>
      </c>
      <c r="B61">
        <v>140</v>
      </c>
      <c r="C61" s="4">
        <f t="shared" si="3"/>
        <v>8.8999999999999084E-4</v>
      </c>
      <c r="D61">
        <v>2.4838</v>
      </c>
      <c r="E61" s="1">
        <f t="shared" si="2"/>
        <v>0.43194444444444452</v>
      </c>
      <c r="F61" s="3">
        <v>46122</v>
      </c>
    </row>
    <row r="62" spans="1:6" x14ac:dyDescent="0.3">
      <c r="A62" t="s">
        <v>16</v>
      </c>
      <c r="B62">
        <v>140</v>
      </c>
      <c r="C62" s="4">
        <f t="shared" si="3"/>
        <v>8.2999999999999741E-4</v>
      </c>
      <c r="D62">
        <v>2.2753000000000001</v>
      </c>
      <c r="E62" s="1">
        <f t="shared" si="2"/>
        <v>0.43402777777777785</v>
      </c>
      <c r="F62" s="3">
        <v>46122</v>
      </c>
    </row>
    <row r="63" spans="1:6" x14ac:dyDescent="0.3">
      <c r="A63" t="s">
        <v>17</v>
      </c>
      <c r="B63">
        <v>140</v>
      </c>
      <c r="C63" s="5">
        <f t="shared" si="3"/>
        <v>1.6450000000000076E-3</v>
      </c>
      <c r="D63">
        <v>3.3915999999999999</v>
      </c>
      <c r="E63" s="1">
        <f t="shared" si="2"/>
        <v>0.43541666666666673</v>
      </c>
      <c r="F63" s="3">
        <v>46122</v>
      </c>
    </row>
    <row r="64" spans="1:6" x14ac:dyDescent="0.3">
      <c r="A64" t="s">
        <v>18</v>
      </c>
      <c r="B64">
        <v>140</v>
      </c>
      <c r="C64" s="4">
        <f t="shared" si="3"/>
        <v>8.750000000000036E-4</v>
      </c>
      <c r="D64">
        <v>2.8407</v>
      </c>
      <c r="E64" s="1">
        <f t="shared" si="2"/>
        <v>0.43611111111111117</v>
      </c>
      <c r="F64" s="3">
        <v>46122</v>
      </c>
    </row>
    <row r="65" spans="1:6" x14ac:dyDescent="0.3">
      <c r="A65" t="s">
        <v>12</v>
      </c>
      <c r="B65">
        <v>160</v>
      </c>
      <c r="C65" s="4">
        <f t="shared" si="3"/>
        <v>1.4050000000000117E-3</v>
      </c>
      <c r="D65">
        <v>2.4278</v>
      </c>
      <c r="E65" s="1">
        <f t="shared" si="2"/>
        <v>0.44027777777777782</v>
      </c>
      <c r="F65" s="3">
        <v>46122</v>
      </c>
    </row>
    <row r="66" spans="1:6" x14ac:dyDescent="0.3">
      <c r="A66" t="s">
        <v>13</v>
      </c>
      <c r="B66">
        <v>160</v>
      </c>
      <c r="C66" s="4">
        <f t="shared" si="3"/>
        <v>2.2499999999999964E-3</v>
      </c>
      <c r="D66">
        <v>4.2076000000000002</v>
      </c>
      <c r="E66" s="1">
        <f t="shared" si="2"/>
        <v>0.44166666666666671</v>
      </c>
      <c r="F66" s="3">
        <v>46122</v>
      </c>
    </row>
    <row r="67" spans="1:6" x14ac:dyDescent="0.3">
      <c r="A67" t="s">
        <v>14</v>
      </c>
      <c r="B67">
        <v>160</v>
      </c>
      <c r="C67" s="4">
        <f t="shared" si="3"/>
        <v>3.1800000000000049E-3</v>
      </c>
      <c r="D67">
        <v>2.7963</v>
      </c>
      <c r="E67" s="1">
        <f t="shared" si="2"/>
        <v>0.44166666666666671</v>
      </c>
      <c r="F67" s="3">
        <v>46122</v>
      </c>
    </row>
    <row r="68" spans="1:6" x14ac:dyDescent="0.3">
      <c r="A68" t="s">
        <v>15</v>
      </c>
      <c r="B68">
        <v>160</v>
      </c>
      <c r="C68" s="4">
        <f t="shared" si="3"/>
        <v>9.7000000000000417E-4</v>
      </c>
      <c r="D68">
        <v>2.4643999999999999</v>
      </c>
      <c r="E68" s="1">
        <f t="shared" si="2"/>
        <v>0.44583333333333341</v>
      </c>
      <c r="F68" s="3">
        <v>46122</v>
      </c>
    </row>
    <row r="69" spans="1:6" x14ac:dyDescent="0.3">
      <c r="A69" t="s">
        <v>16</v>
      </c>
      <c r="B69">
        <v>160</v>
      </c>
      <c r="C69" s="4">
        <f t="shared" si="3"/>
        <v>9.2000000000000968E-4</v>
      </c>
      <c r="D69">
        <v>2.2568999999999999</v>
      </c>
      <c r="E69" s="1">
        <f t="shared" si="2"/>
        <v>0.44791666666666674</v>
      </c>
      <c r="F69" s="3">
        <v>46122</v>
      </c>
    </row>
    <row r="70" spans="1:6" x14ac:dyDescent="0.3">
      <c r="A70" t="s">
        <v>17</v>
      </c>
      <c r="B70">
        <v>160</v>
      </c>
      <c r="C70" s="5">
        <f t="shared" si="3"/>
        <v>1.495000000000002E-3</v>
      </c>
      <c r="D70">
        <v>3.3616999999999999</v>
      </c>
      <c r="E70" s="1">
        <f t="shared" si="2"/>
        <v>0.44930555555555562</v>
      </c>
      <c r="F70" s="3">
        <v>46122</v>
      </c>
    </row>
    <row r="71" spans="1:6" x14ac:dyDescent="0.3">
      <c r="A71" t="s">
        <v>18</v>
      </c>
      <c r="B71">
        <v>160</v>
      </c>
      <c r="C71" s="4">
        <f t="shared" si="3"/>
        <v>8.5999999999999412E-4</v>
      </c>
      <c r="D71">
        <v>2.8235000000000001</v>
      </c>
      <c r="E71" s="1">
        <f t="shared" si="2"/>
        <v>0.45000000000000007</v>
      </c>
      <c r="F71" s="3">
        <v>46122</v>
      </c>
    </row>
    <row r="72" spans="1:6" x14ac:dyDescent="0.3">
      <c r="A72" t="s">
        <v>12</v>
      </c>
      <c r="B72">
        <v>180</v>
      </c>
      <c r="C72" s="4">
        <f t="shared" ref="C72:C92" si="4">(D65-D72)/20</f>
        <v>1.6149999999999886E-3</v>
      </c>
      <c r="D72">
        <v>2.3955000000000002</v>
      </c>
      <c r="E72" s="1">
        <f t="shared" si="2"/>
        <v>0.45416666666666672</v>
      </c>
      <c r="F72" s="3">
        <v>46122</v>
      </c>
    </row>
    <row r="73" spans="1:6" x14ac:dyDescent="0.3">
      <c r="A73" t="s">
        <v>13</v>
      </c>
      <c r="B73">
        <v>180</v>
      </c>
      <c r="C73" s="4">
        <f t="shared" si="4"/>
        <v>2.5050000000000237E-3</v>
      </c>
      <c r="D73">
        <v>4.1574999999999998</v>
      </c>
      <c r="E73" s="1">
        <f t="shared" si="2"/>
        <v>0.4555555555555556</v>
      </c>
      <c r="F73" s="3">
        <v>46122</v>
      </c>
    </row>
    <row r="74" spans="1:6" x14ac:dyDescent="0.3">
      <c r="A74" t="s">
        <v>14</v>
      </c>
      <c r="B74">
        <v>180</v>
      </c>
      <c r="C74" s="4">
        <f t="shared" si="4"/>
        <v>1.8000000000000017E-3</v>
      </c>
      <c r="D74">
        <v>2.7603</v>
      </c>
      <c r="E74" s="1">
        <f t="shared" si="2"/>
        <v>0.4555555555555556</v>
      </c>
      <c r="F74" s="3">
        <v>46122</v>
      </c>
    </row>
    <row r="75" spans="1:6" x14ac:dyDescent="0.3">
      <c r="A75" t="s">
        <v>15</v>
      </c>
      <c r="B75">
        <v>180</v>
      </c>
      <c r="C75" s="4">
        <f t="shared" si="4"/>
        <v>8.4500000000000688E-4</v>
      </c>
      <c r="D75">
        <v>2.4474999999999998</v>
      </c>
      <c r="E75" s="1">
        <f t="shared" si="2"/>
        <v>0.45972222222222231</v>
      </c>
      <c r="F75" s="3">
        <v>46122</v>
      </c>
    </row>
    <row r="76" spans="1:6" x14ac:dyDescent="0.3">
      <c r="A76" t="s">
        <v>16</v>
      </c>
      <c r="B76">
        <v>180</v>
      </c>
      <c r="C76" s="4">
        <f t="shared" si="4"/>
        <v>8.1999999999999846E-4</v>
      </c>
      <c r="D76">
        <v>2.2404999999999999</v>
      </c>
      <c r="E76" s="1">
        <f t="shared" si="2"/>
        <v>0.46180555555555564</v>
      </c>
      <c r="F76" s="3">
        <v>46122</v>
      </c>
    </row>
    <row r="77" spans="1:6" x14ac:dyDescent="0.3">
      <c r="A77" t="s">
        <v>17</v>
      </c>
      <c r="B77">
        <v>180</v>
      </c>
      <c r="C77" s="5">
        <f t="shared" si="4"/>
        <v>1.7249999999999987E-3</v>
      </c>
      <c r="D77">
        <v>3.3271999999999999</v>
      </c>
      <c r="E77" s="1">
        <f t="shared" si="2"/>
        <v>0.46319444444444452</v>
      </c>
      <c r="F77" s="3">
        <v>46122</v>
      </c>
    </row>
    <row r="78" spans="1:6" x14ac:dyDescent="0.3">
      <c r="A78" t="s">
        <v>18</v>
      </c>
      <c r="B78">
        <v>180</v>
      </c>
      <c r="C78" s="4">
        <f t="shared" si="4"/>
        <v>9.6500000000001587E-4</v>
      </c>
      <c r="D78">
        <v>2.8041999999999998</v>
      </c>
      <c r="E78" s="1">
        <f t="shared" si="2"/>
        <v>0.46388888888888896</v>
      </c>
      <c r="F78" s="3">
        <v>46122</v>
      </c>
    </row>
    <row r="79" spans="1:6" x14ac:dyDescent="0.3">
      <c r="A79" t="s">
        <v>12</v>
      </c>
      <c r="B79">
        <v>200</v>
      </c>
      <c r="C79" s="4">
        <f t="shared" si="4"/>
        <v>1.7249999999999987E-3</v>
      </c>
      <c r="D79">
        <v>2.3610000000000002</v>
      </c>
      <c r="E79" s="1">
        <f t="shared" si="2"/>
        <v>0.46805555555555561</v>
      </c>
      <c r="F79" s="3">
        <v>46122</v>
      </c>
    </row>
    <row r="80" spans="1:6" x14ac:dyDescent="0.3">
      <c r="A80" t="s">
        <v>13</v>
      </c>
      <c r="B80">
        <v>200</v>
      </c>
      <c r="C80" s="5">
        <f t="shared" si="4"/>
        <v>2.4649999999999837E-3</v>
      </c>
      <c r="D80">
        <v>4.1082000000000001</v>
      </c>
      <c r="E80" s="1">
        <f t="shared" si="2"/>
        <v>0.4694444444444445</v>
      </c>
      <c r="F80" s="3">
        <v>46122</v>
      </c>
    </row>
    <row r="81" spans="1:6" x14ac:dyDescent="0.3">
      <c r="A81" t="s">
        <v>14</v>
      </c>
      <c r="B81">
        <v>200</v>
      </c>
      <c r="C81" s="4">
        <f t="shared" si="4"/>
        <v>1.9649999999999945E-3</v>
      </c>
      <c r="D81">
        <v>2.7210000000000001</v>
      </c>
      <c r="E81" s="1">
        <f t="shared" ref="E81:E93" si="5">E74+(20/1440)</f>
        <v>0.4694444444444445</v>
      </c>
      <c r="F81" s="3">
        <v>46122</v>
      </c>
    </row>
    <row r="82" spans="1:6" x14ac:dyDescent="0.3">
      <c r="A82" t="s">
        <v>15</v>
      </c>
      <c r="B82">
        <v>200</v>
      </c>
      <c r="C82" s="4">
        <f t="shared" si="4"/>
        <v>9.2999999999998639E-4</v>
      </c>
      <c r="D82">
        <v>2.4289000000000001</v>
      </c>
      <c r="E82" s="1">
        <f t="shared" si="5"/>
        <v>0.4736111111111112</v>
      </c>
      <c r="F82" s="3">
        <v>46122</v>
      </c>
    </row>
    <row r="83" spans="1:6" x14ac:dyDescent="0.3">
      <c r="A83" t="s">
        <v>16</v>
      </c>
      <c r="B83">
        <v>200</v>
      </c>
      <c r="C83" s="4">
        <f t="shared" si="4"/>
        <v>8.4500000000000688E-4</v>
      </c>
      <c r="D83">
        <v>2.2235999999999998</v>
      </c>
      <c r="E83" s="1">
        <f t="shared" si="5"/>
        <v>0.47569444444444453</v>
      </c>
      <c r="F83" s="3">
        <v>46122</v>
      </c>
    </row>
    <row r="84" spans="1:6" x14ac:dyDescent="0.3">
      <c r="A84" t="s">
        <v>17</v>
      </c>
      <c r="B84">
        <v>200</v>
      </c>
      <c r="C84" s="5">
        <f t="shared" si="4"/>
        <v>1.5700000000000048E-3</v>
      </c>
      <c r="D84">
        <v>3.2957999999999998</v>
      </c>
      <c r="E84" s="1">
        <f t="shared" si="5"/>
        <v>0.47708333333333341</v>
      </c>
      <c r="F84" s="3">
        <v>46122</v>
      </c>
    </row>
    <row r="85" spans="1:6" x14ac:dyDescent="0.3">
      <c r="A85" t="s">
        <v>18</v>
      </c>
      <c r="B85">
        <v>200</v>
      </c>
      <c r="C85" s="4">
        <f t="shared" si="4"/>
        <v>8.5999999999999412E-4</v>
      </c>
      <c r="D85">
        <v>2.7869999999999999</v>
      </c>
      <c r="E85" s="1">
        <f t="shared" si="5"/>
        <v>0.47777777777777786</v>
      </c>
      <c r="F85" s="3">
        <v>46122</v>
      </c>
    </row>
    <row r="86" spans="1:6" x14ac:dyDescent="0.3">
      <c r="A86" t="s">
        <v>12</v>
      </c>
      <c r="B86">
        <v>220</v>
      </c>
      <c r="C86" s="4">
        <f t="shared" si="4"/>
        <v>1.6500000000000182E-3</v>
      </c>
      <c r="D86">
        <v>2.3279999999999998</v>
      </c>
      <c r="E86" s="1">
        <f t="shared" si="5"/>
        <v>0.48194444444444451</v>
      </c>
      <c r="F86" s="3">
        <v>46122</v>
      </c>
    </row>
    <row r="87" spans="1:6" x14ac:dyDescent="0.3">
      <c r="A87" t="s">
        <v>13</v>
      </c>
      <c r="B87">
        <v>220</v>
      </c>
      <c r="C87" s="5">
        <f t="shared" si="4"/>
        <v>2.5949999999999918E-3</v>
      </c>
      <c r="D87">
        <v>4.0563000000000002</v>
      </c>
      <c r="E87" s="1">
        <f t="shared" si="5"/>
        <v>0.48333333333333339</v>
      </c>
      <c r="F87" s="3">
        <v>46122</v>
      </c>
    </row>
    <row r="88" spans="1:6" x14ac:dyDescent="0.3">
      <c r="A88" t="s">
        <v>14</v>
      </c>
      <c r="B88">
        <v>220</v>
      </c>
      <c r="C88" s="4">
        <f t="shared" si="4"/>
        <v>2.0050000000000124E-3</v>
      </c>
      <c r="D88">
        <v>2.6808999999999998</v>
      </c>
      <c r="E88" s="1">
        <f t="shared" si="5"/>
        <v>0.48333333333333339</v>
      </c>
      <c r="F88" s="3">
        <v>46122</v>
      </c>
    </row>
    <row r="89" spans="1:6" x14ac:dyDescent="0.3">
      <c r="A89" t="s">
        <v>15</v>
      </c>
      <c r="B89">
        <v>220</v>
      </c>
      <c r="C89" s="4">
        <f t="shared" si="4"/>
        <v>9.2000000000000968E-4</v>
      </c>
      <c r="D89">
        <v>2.4104999999999999</v>
      </c>
      <c r="E89" s="1">
        <f t="shared" si="5"/>
        <v>0.4875000000000001</v>
      </c>
      <c r="F89" s="3">
        <v>46122</v>
      </c>
    </row>
    <row r="90" spans="1:6" x14ac:dyDescent="0.3">
      <c r="A90" t="s">
        <v>16</v>
      </c>
      <c r="B90">
        <v>220</v>
      </c>
      <c r="C90" s="4">
        <f t="shared" si="4"/>
        <v>7.6499999999999344E-4</v>
      </c>
      <c r="D90">
        <v>2.2082999999999999</v>
      </c>
      <c r="E90" s="1">
        <f t="shared" si="5"/>
        <v>0.48958333333333343</v>
      </c>
      <c r="F90" s="3">
        <v>46122</v>
      </c>
    </row>
    <row r="91" spans="1:6" x14ac:dyDescent="0.3">
      <c r="A91" t="s">
        <v>17</v>
      </c>
      <c r="B91">
        <v>220</v>
      </c>
      <c r="C91" s="5">
        <f t="shared" si="4"/>
        <v>1.584999999999992E-3</v>
      </c>
      <c r="D91">
        <v>3.2641</v>
      </c>
      <c r="E91" s="1">
        <f t="shared" si="5"/>
        <v>0.49097222222222231</v>
      </c>
      <c r="F91" s="3">
        <v>46122</v>
      </c>
    </row>
    <row r="92" spans="1:6" x14ac:dyDescent="0.3">
      <c r="A92" t="s">
        <v>18</v>
      </c>
      <c r="B92">
        <v>220</v>
      </c>
      <c r="C92" s="4">
        <f t="shared" si="4"/>
        <v>8.9500000000000137E-4</v>
      </c>
      <c r="D92">
        <v>2.7690999999999999</v>
      </c>
      <c r="E92" s="1">
        <f t="shared" si="5"/>
        <v>0.49166666666666675</v>
      </c>
      <c r="F92" s="3">
        <v>46122</v>
      </c>
    </row>
    <row r="93" spans="1:6" x14ac:dyDescent="0.3">
      <c r="E93" s="1">
        <f t="shared" si="5"/>
        <v>0.4958333333333334</v>
      </c>
      <c r="F93" s="3">
        <v>46122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ED35-F862-43B2-BC01-754C9F9558F4}">
  <dimension ref="A1:E123"/>
  <sheetViews>
    <sheetView topLeftCell="A97" workbookViewId="0">
      <selection activeCell="I18" sqref="I18"/>
    </sheetView>
  </sheetViews>
  <sheetFormatPr baseColWidth="10" defaultRowHeight="14.4" x14ac:dyDescent="0.3"/>
  <sheetData>
    <row r="1" spans="1:5" x14ac:dyDescent="0.3">
      <c r="A1" t="s">
        <v>24</v>
      </c>
      <c r="B1" t="s">
        <v>32</v>
      </c>
      <c r="C1" t="s">
        <v>31</v>
      </c>
      <c r="D1" t="s">
        <v>30</v>
      </c>
      <c r="E1" t="s">
        <v>8</v>
      </c>
    </row>
    <row r="2" spans="1:5" x14ac:dyDescent="0.3">
      <c r="A2" t="s">
        <v>33</v>
      </c>
      <c r="B2" t="s">
        <v>11</v>
      </c>
      <c r="D2">
        <v>2.4735999999999998</v>
      </c>
      <c r="E2" s="1">
        <v>0.31388888888888888</v>
      </c>
    </row>
    <row r="3" spans="1:5" x14ac:dyDescent="0.3">
      <c r="A3" t="s">
        <v>25</v>
      </c>
      <c r="B3" t="s">
        <v>11</v>
      </c>
      <c r="D3">
        <v>2.8588</v>
      </c>
      <c r="E3" s="1">
        <v>0.31597222222222221</v>
      </c>
    </row>
    <row r="4" spans="1:5" x14ac:dyDescent="0.3">
      <c r="A4" t="s">
        <v>26</v>
      </c>
      <c r="B4" t="s">
        <v>11</v>
      </c>
      <c r="D4">
        <v>2.5392999999999999</v>
      </c>
      <c r="E4" s="1">
        <v>0.31805555555555554</v>
      </c>
    </row>
    <row r="5" spans="1:5" x14ac:dyDescent="0.3">
      <c r="A5" t="s">
        <v>27</v>
      </c>
      <c r="B5" t="s">
        <v>11</v>
      </c>
      <c r="D5">
        <v>3.2004999999999999</v>
      </c>
      <c r="E5" s="1">
        <v>0.31874999999999998</v>
      </c>
    </row>
    <row r="6" spans="1:5" x14ac:dyDescent="0.3">
      <c r="A6" t="s">
        <v>28</v>
      </c>
      <c r="B6" t="s">
        <v>11</v>
      </c>
      <c r="D6">
        <v>2.6486000000000001</v>
      </c>
      <c r="E6" s="1">
        <v>0.32013888888888886</v>
      </c>
    </row>
    <row r="7" spans="1:5" x14ac:dyDescent="0.3">
      <c r="A7" t="s">
        <v>2</v>
      </c>
      <c r="B7" t="s">
        <v>11</v>
      </c>
      <c r="D7">
        <v>3.5049000000000001</v>
      </c>
      <c r="E7" s="1">
        <v>0.32083333333333336</v>
      </c>
    </row>
    <row r="8" spans="1:5" x14ac:dyDescent="0.3">
      <c r="A8" t="s">
        <v>29</v>
      </c>
      <c r="B8" t="s">
        <v>11</v>
      </c>
      <c r="D8">
        <v>2.1699000000000002</v>
      </c>
      <c r="E8" s="1">
        <v>0.3215277777777778</v>
      </c>
    </row>
    <row r="9" spans="1:5" x14ac:dyDescent="0.3">
      <c r="A9" t="s">
        <v>33</v>
      </c>
      <c r="B9">
        <v>0</v>
      </c>
      <c r="C9" s="2">
        <f t="shared" ref="C9:C50" si="0">(D2-D9)/20</f>
        <v>1.969999999999983E-3</v>
      </c>
      <c r="D9">
        <v>2.4342000000000001</v>
      </c>
      <c r="E9" s="1">
        <v>0.3263888888888889</v>
      </c>
    </row>
    <row r="10" spans="1:5" x14ac:dyDescent="0.3">
      <c r="A10" t="s">
        <v>25</v>
      </c>
      <c r="B10">
        <v>0</v>
      </c>
      <c r="C10" s="2">
        <f t="shared" si="0"/>
        <v>1.960000000000006E-3</v>
      </c>
      <c r="D10">
        <v>2.8195999999999999</v>
      </c>
      <c r="E10" s="1">
        <v>0.32708333333333334</v>
      </c>
    </row>
    <row r="11" spans="1:5" x14ac:dyDescent="0.3">
      <c r="A11" t="s">
        <v>26</v>
      </c>
      <c r="B11">
        <v>0</v>
      </c>
      <c r="C11" s="2">
        <f t="shared" si="0"/>
        <v>2.0049999999999903E-3</v>
      </c>
      <c r="D11">
        <v>2.4992000000000001</v>
      </c>
      <c r="E11" s="1">
        <v>0.32708333333333334</v>
      </c>
    </row>
    <row r="12" spans="1:5" x14ac:dyDescent="0.3">
      <c r="A12" t="s">
        <v>27</v>
      </c>
      <c r="B12">
        <v>0</v>
      </c>
      <c r="C12" s="2">
        <f t="shared" si="0"/>
        <v>3.7499999999999198E-4</v>
      </c>
      <c r="D12">
        <v>3.1930000000000001</v>
      </c>
      <c r="E12" s="1">
        <v>0.32777777777777778</v>
      </c>
    </row>
    <row r="13" spans="1:5" x14ac:dyDescent="0.3">
      <c r="A13" t="s">
        <v>28</v>
      </c>
      <c r="B13">
        <v>0</v>
      </c>
      <c r="C13" s="2">
        <f t="shared" si="0"/>
        <v>1.2150000000000106E-3</v>
      </c>
      <c r="D13">
        <v>2.6242999999999999</v>
      </c>
      <c r="E13" s="1">
        <v>0.32777777777777778</v>
      </c>
    </row>
    <row r="14" spans="1:5" x14ac:dyDescent="0.3">
      <c r="A14" t="s">
        <v>2</v>
      </c>
      <c r="B14">
        <v>0</v>
      </c>
      <c r="C14" s="2">
        <f t="shared" si="0"/>
        <v>6.7000000000001498E-4</v>
      </c>
      <c r="D14">
        <v>3.4914999999999998</v>
      </c>
      <c r="E14" s="1">
        <v>0.32777777777777778</v>
      </c>
    </row>
    <row r="15" spans="1:5" x14ac:dyDescent="0.3">
      <c r="A15" t="s">
        <v>29</v>
      </c>
      <c r="B15">
        <v>0</v>
      </c>
      <c r="C15" s="2">
        <f t="shared" si="0"/>
        <v>7.7000000000000397E-4</v>
      </c>
      <c r="D15">
        <v>2.1545000000000001</v>
      </c>
      <c r="E15" s="1">
        <v>0.32847222222222222</v>
      </c>
    </row>
    <row r="16" spans="1:5" x14ac:dyDescent="0.3">
      <c r="A16" t="s">
        <v>33</v>
      </c>
      <c r="B16">
        <v>20</v>
      </c>
      <c r="C16" s="2">
        <f t="shared" si="0"/>
        <v>1.6600000000000169E-3</v>
      </c>
      <c r="D16">
        <v>2.4009999999999998</v>
      </c>
      <c r="E16" s="1">
        <f>E9+(20/1440)</f>
        <v>0.34027777777777779</v>
      </c>
    </row>
    <row r="17" spans="1:5" x14ac:dyDescent="0.3">
      <c r="A17" t="s">
        <v>25</v>
      </c>
      <c r="B17">
        <v>20</v>
      </c>
      <c r="C17" s="2">
        <f t="shared" si="0"/>
        <v>1.8499999999999962E-3</v>
      </c>
      <c r="D17">
        <v>2.7826</v>
      </c>
      <c r="E17" s="1">
        <f t="shared" ref="E17:E80" si="1">E10+(20/1440)</f>
        <v>0.34097222222222223</v>
      </c>
    </row>
    <row r="18" spans="1:5" x14ac:dyDescent="0.3">
      <c r="A18" t="s">
        <v>26</v>
      </c>
      <c r="B18">
        <v>20</v>
      </c>
      <c r="C18" s="2">
        <f t="shared" si="0"/>
        <v>2.0100000000000005E-3</v>
      </c>
      <c r="D18">
        <v>2.4590000000000001</v>
      </c>
      <c r="E18" s="1">
        <f t="shared" si="1"/>
        <v>0.34097222222222223</v>
      </c>
    </row>
    <row r="19" spans="1:5" x14ac:dyDescent="0.3">
      <c r="A19" t="s">
        <v>27</v>
      </c>
      <c r="B19">
        <v>20</v>
      </c>
      <c r="C19" s="2">
        <f t="shared" si="0"/>
        <v>1.2599999999999944E-3</v>
      </c>
      <c r="D19">
        <v>3.1678000000000002</v>
      </c>
      <c r="E19" s="1">
        <f t="shared" si="1"/>
        <v>0.34166666666666667</v>
      </c>
    </row>
    <row r="20" spans="1:5" x14ac:dyDescent="0.3">
      <c r="A20" t="s">
        <v>28</v>
      </c>
      <c r="B20">
        <v>20</v>
      </c>
      <c r="C20" s="2">
        <f t="shared" si="0"/>
        <v>2.6249999999999885E-3</v>
      </c>
      <c r="D20">
        <v>2.5718000000000001</v>
      </c>
      <c r="E20" s="1">
        <f t="shared" si="1"/>
        <v>0.34166666666666667</v>
      </c>
    </row>
    <row r="21" spans="1:5" x14ac:dyDescent="0.3">
      <c r="A21" t="s">
        <v>2</v>
      </c>
      <c r="B21">
        <v>20</v>
      </c>
      <c r="C21" s="2">
        <f t="shared" si="0"/>
        <v>1.794999999999991E-3</v>
      </c>
      <c r="D21">
        <v>3.4556</v>
      </c>
      <c r="E21" s="1">
        <f t="shared" si="1"/>
        <v>0.34166666666666667</v>
      </c>
    </row>
    <row r="22" spans="1:5" x14ac:dyDescent="0.3">
      <c r="A22" t="s">
        <v>29</v>
      </c>
      <c r="B22">
        <v>20</v>
      </c>
      <c r="C22" s="2">
        <f t="shared" si="0"/>
        <v>1.8100000000000004E-3</v>
      </c>
      <c r="D22">
        <v>2.1183000000000001</v>
      </c>
      <c r="E22" s="1">
        <f t="shared" si="1"/>
        <v>0.34236111111111112</v>
      </c>
    </row>
    <row r="23" spans="1:5" x14ac:dyDescent="0.3">
      <c r="A23" t="s">
        <v>33</v>
      </c>
      <c r="B23">
        <v>40</v>
      </c>
      <c r="C23" s="2">
        <f t="shared" si="0"/>
        <v>1.1299999999999865E-3</v>
      </c>
      <c r="D23">
        <v>2.3784000000000001</v>
      </c>
      <c r="E23" s="1">
        <f t="shared" si="1"/>
        <v>0.35416666666666669</v>
      </c>
    </row>
    <row r="24" spans="1:5" x14ac:dyDescent="0.3">
      <c r="A24" t="s">
        <v>25</v>
      </c>
      <c r="B24">
        <v>40</v>
      </c>
      <c r="C24" s="2">
        <f t="shared" si="0"/>
        <v>1.1749999999999927E-3</v>
      </c>
      <c r="D24">
        <v>2.7591000000000001</v>
      </c>
      <c r="E24" s="1">
        <f t="shared" si="1"/>
        <v>0.35486111111111113</v>
      </c>
    </row>
    <row r="25" spans="1:5" x14ac:dyDescent="0.3">
      <c r="A25" t="s">
        <v>26</v>
      </c>
      <c r="B25">
        <v>40</v>
      </c>
      <c r="C25" s="2">
        <f t="shared" si="0"/>
        <v>1.1400000000000078E-3</v>
      </c>
      <c r="D25">
        <v>2.4361999999999999</v>
      </c>
      <c r="E25" s="1">
        <f t="shared" si="1"/>
        <v>0.35486111111111113</v>
      </c>
    </row>
    <row r="26" spans="1:5" x14ac:dyDescent="0.3">
      <c r="A26" t="s">
        <v>27</v>
      </c>
      <c r="B26">
        <v>40</v>
      </c>
      <c r="C26" s="2">
        <f t="shared" si="0"/>
        <v>1.0000000000000009E-3</v>
      </c>
      <c r="D26">
        <v>3.1478000000000002</v>
      </c>
      <c r="E26" s="1">
        <f t="shared" si="1"/>
        <v>0.35555555555555557</v>
      </c>
    </row>
    <row r="27" spans="1:5" x14ac:dyDescent="0.3">
      <c r="A27" t="s">
        <v>28</v>
      </c>
      <c r="B27">
        <v>40</v>
      </c>
      <c r="C27" s="2">
        <f t="shared" si="0"/>
        <v>3.0599999999999959E-3</v>
      </c>
      <c r="D27">
        <v>2.5106000000000002</v>
      </c>
      <c r="E27" s="1">
        <f t="shared" si="1"/>
        <v>0.35555555555555557</v>
      </c>
    </row>
    <row r="28" spans="1:5" x14ac:dyDescent="0.3">
      <c r="A28" t="s">
        <v>2</v>
      </c>
      <c r="B28">
        <v>40</v>
      </c>
      <c r="C28" s="2">
        <f t="shared" si="0"/>
        <v>1.3349999999999972E-3</v>
      </c>
      <c r="D28">
        <v>3.4289000000000001</v>
      </c>
      <c r="E28" s="1">
        <f t="shared" si="1"/>
        <v>0.35555555555555557</v>
      </c>
    </row>
    <row r="29" spans="1:5" x14ac:dyDescent="0.3">
      <c r="A29" t="s">
        <v>29</v>
      </c>
      <c r="B29">
        <v>40</v>
      </c>
      <c r="C29" s="2">
        <f t="shared" si="0"/>
        <v>1.5500000000000069E-3</v>
      </c>
      <c r="D29">
        <v>2.0872999999999999</v>
      </c>
      <c r="E29" s="1">
        <f t="shared" si="1"/>
        <v>0.35625000000000001</v>
      </c>
    </row>
    <row r="30" spans="1:5" x14ac:dyDescent="0.3">
      <c r="A30" t="s">
        <v>33</v>
      </c>
      <c r="B30">
        <v>60</v>
      </c>
      <c r="C30" s="2">
        <f t="shared" si="0"/>
        <v>1.3149999999999995E-3</v>
      </c>
      <c r="D30">
        <v>2.3521000000000001</v>
      </c>
      <c r="E30" s="1">
        <f t="shared" si="1"/>
        <v>0.36805555555555558</v>
      </c>
    </row>
    <row r="31" spans="1:5" x14ac:dyDescent="0.3">
      <c r="A31" t="s">
        <v>25</v>
      </c>
      <c r="B31">
        <v>60</v>
      </c>
      <c r="C31" s="2">
        <f t="shared" si="0"/>
        <v>1.1249999999999982E-3</v>
      </c>
      <c r="D31">
        <v>2.7366000000000001</v>
      </c>
      <c r="E31" s="1">
        <f t="shared" si="1"/>
        <v>0.36875000000000002</v>
      </c>
    </row>
    <row r="32" spans="1:5" x14ac:dyDescent="0.3">
      <c r="A32" t="s">
        <v>26</v>
      </c>
      <c r="B32">
        <v>60</v>
      </c>
      <c r="C32" s="2">
        <f t="shared" si="0"/>
        <v>1.2449999999999851E-3</v>
      </c>
      <c r="D32">
        <v>2.4113000000000002</v>
      </c>
      <c r="E32" s="1">
        <f t="shared" si="1"/>
        <v>0.36875000000000002</v>
      </c>
    </row>
    <row r="33" spans="1:5" x14ac:dyDescent="0.3">
      <c r="A33" t="s">
        <v>27</v>
      </c>
      <c r="B33">
        <v>60</v>
      </c>
      <c r="C33" s="2">
        <f t="shared" si="0"/>
        <v>9.9500000000001258E-4</v>
      </c>
      <c r="D33">
        <v>3.1278999999999999</v>
      </c>
      <c r="E33" s="1">
        <f t="shared" si="1"/>
        <v>0.36944444444444446</v>
      </c>
    </row>
    <row r="34" spans="1:5" x14ac:dyDescent="0.3">
      <c r="A34" t="s">
        <v>28</v>
      </c>
      <c r="B34">
        <v>60</v>
      </c>
      <c r="C34" s="2">
        <f t="shared" si="0"/>
        <v>2.9400000000000094E-3</v>
      </c>
      <c r="D34">
        <v>2.4518</v>
      </c>
      <c r="E34" s="1">
        <f t="shared" si="1"/>
        <v>0.36944444444444446</v>
      </c>
    </row>
    <row r="35" spans="1:5" x14ac:dyDescent="0.3">
      <c r="A35" t="s">
        <v>2</v>
      </c>
      <c r="B35">
        <v>60</v>
      </c>
      <c r="C35" s="2">
        <f t="shared" si="0"/>
        <v>1.3549999999999951E-3</v>
      </c>
      <c r="D35">
        <v>3.4018000000000002</v>
      </c>
      <c r="E35" s="1">
        <f t="shared" si="1"/>
        <v>0.36944444444444446</v>
      </c>
    </row>
    <row r="36" spans="1:5" x14ac:dyDescent="0.3">
      <c r="A36" t="s">
        <v>29</v>
      </c>
      <c r="B36">
        <v>60</v>
      </c>
      <c r="C36" s="2">
        <f t="shared" si="0"/>
        <v>1.8000000000000017E-3</v>
      </c>
      <c r="D36">
        <v>2.0512999999999999</v>
      </c>
      <c r="E36" s="1">
        <f t="shared" si="1"/>
        <v>0.37013888888888891</v>
      </c>
    </row>
    <row r="37" spans="1:5" x14ac:dyDescent="0.3">
      <c r="A37" t="s">
        <v>33</v>
      </c>
      <c r="B37">
        <v>80</v>
      </c>
      <c r="C37" s="2">
        <f t="shared" si="0"/>
        <v>1.2099999999999999E-3</v>
      </c>
      <c r="D37">
        <v>2.3279000000000001</v>
      </c>
      <c r="E37" s="1">
        <f t="shared" si="1"/>
        <v>0.38194444444444448</v>
      </c>
    </row>
    <row r="38" spans="1:5" x14ac:dyDescent="0.3">
      <c r="A38" t="s">
        <v>25</v>
      </c>
      <c r="B38">
        <v>80</v>
      </c>
      <c r="C38" s="2">
        <f t="shared" si="0"/>
        <v>1.0800000000000143E-3</v>
      </c>
      <c r="D38">
        <v>2.7149999999999999</v>
      </c>
      <c r="E38" s="1">
        <f t="shared" si="1"/>
        <v>0.38263888888888892</v>
      </c>
    </row>
    <row r="39" spans="1:5" x14ac:dyDescent="0.3">
      <c r="A39" t="s">
        <v>26</v>
      </c>
      <c r="B39">
        <v>80</v>
      </c>
      <c r="C39" s="2">
        <f t="shared" si="0"/>
        <v>1.1800000000000033E-3</v>
      </c>
      <c r="D39">
        <v>2.3877000000000002</v>
      </c>
      <c r="E39" s="1">
        <f t="shared" si="1"/>
        <v>0.38263888888888892</v>
      </c>
    </row>
    <row r="40" spans="1:5" x14ac:dyDescent="0.3">
      <c r="A40" t="s">
        <v>27</v>
      </c>
      <c r="B40">
        <v>80</v>
      </c>
      <c r="C40" s="2">
        <f t="shared" si="0"/>
        <v>1.3499999999999845E-3</v>
      </c>
      <c r="D40">
        <v>3.1009000000000002</v>
      </c>
      <c r="E40" s="1">
        <f t="shared" si="1"/>
        <v>0.38333333333333336</v>
      </c>
    </row>
    <row r="41" spans="1:5" x14ac:dyDescent="0.3">
      <c r="A41" t="s">
        <v>28</v>
      </c>
      <c r="B41">
        <v>80</v>
      </c>
      <c r="C41" s="2">
        <f t="shared" si="0"/>
        <v>1.2350000000000082E-3</v>
      </c>
      <c r="D41">
        <v>2.4270999999999998</v>
      </c>
      <c r="E41" s="1">
        <f t="shared" si="1"/>
        <v>0.38333333333333336</v>
      </c>
    </row>
    <row r="42" spans="1:5" x14ac:dyDescent="0.3">
      <c r="A42" t="s">
        <v>2</v>
      </c>
      <c r="B42">
        <v>80</v>
      </c>
      <c r="C42" s="2">
        <f t="shared" si="0"/>
        <v>2.3400000000000087E-3</v>
      </c>
      <c r="D42">
        <v>3.355</v>
      </c>
      <c r="E42" s="1">
        <f t="shared" si="1"/>
        <v>0.38333333333333336</v>
      </c>
    </row>
    <row r="43" spans="1:5" x14ac:dyDescent="0.3">
      <c r="A43" t="s">
        <v>29</v>
      </c>
      <c r="B43">
        <v>80</v>
      </c>
      <c r="C43" s="2">
        <f t="shared" si="0"/>
        <v>1.8249999999999877E-3</v>
      </c>
      <c r="D43">
        <v>2.0148000000000001</v>
      </c>
      <c r="E43" s="1">
        <f t="shared" si="1"/>
        <v>0.3840277777777778</v>
      </c>
    </row>
    <row r="44" spans="1:5" x14ac:dyDescent="0.3">
      <c r="A44" t="s">
        <v>33</v>
      </c>
      <c r="B44">
        <v>100</v>
      </c>
      <c r="C44" s="2">
        <f t="shared" si="0"/>
        <v>1.0050000000000115E-3</v>
      </c>
      <c r="D44">
        <v>2.3077999999999999</v>
      </c>
      <c r="E44" s="1">
        <f t="shared" si="1"/>
        <v>0.39583333333333337</v>
      </c>
    </row>
    <row r="45" spans="1:5" x14ac:dyDescent="0.3">
      <c r="A45" t="s">
        <v>25</v>
      </c>
      <c r="B45">
        <v>100</v>
      </c>
      <c r="C45" s="2">
        <f t="shared" si="0"/>
        <v>8.9500000000000137E-4</v>
      </c>
      <c r="D45">
        <v>2.6970999999999998</v>
      </c>
      <c r="E45" s="1">
        <f t="shared" si="1"/>
        <v>0.39652777777777781</v>
      </c>
    </row>
    <row r="46" spans="1:5" x14ac:dyDescent="0.3">
      <c r="A46" t="s">
        <v>26</v>
      </c>
      <c r="B46">
        <v>100</v>
      </c>
      <c r="C46" s="2">
        <f t="shared" si="0"/>
        <v>1.0950000000000016E-3</v>
      </c>
      <c r="D46">
        <v>2.3658000000000001</v>
      </c>
      <c r="E46" s="1">
        <f t="shared" si="1"/>
        <v>0.39652777777777781</v>
      </c>
    </row>
    <row r="47" spans="1:5" x14ac:dyDescent="0.3">
      <c r="A47" t="s">
        <v>27</v>
      </c>
      <c r="B47">
        <v>100</v>
      </c>
      <c r="C47" s="2">
        <f t="shared" si="0"/>
        <v>1.6600000000000169E-3</v>
      </c>
      <c r="D47">
        <v>3.0676999999999999</v>
      </c>
      <c r="E47" s="1">
        <f t="shared" si="1"/>
        <v>0.39722222222222225</v>
      </c>
    </row>
    <row r="48" spans="1:5" x14ac:dyDescent="0.3">
      <c r="A48" t="s">
        <v>28</v>
      </c>
      <c r="B48">
        <v>100</v>
      </c>
      <c r="C48" s="2">
        <f t="shared" si="0"/>
        <v>9.0999999999998862E-4</v>
      </c>
      <c r="D48">
        <v>2.4089</v>
      </c>
      <c r="E48" s="1">
        <f t="shared" si="1"/>
        <v>0.39722222222222225</v>
      </c>
    </row>
    <row r="49" spans="1:5" x14ac:dyDescent="0.3">
      <c r="A49" t="s">
        <v>2</v>
      </c>
      <c r="B49">
        <v>100</v>
      </c>
      <c r="C49" s="2">
        <f t="shared" si="0"/>
        <v>3.2249999999999892E-3</v>
      </c>
      <c r="D49">
        <v>3.2905000000000002</v>
      </c>
      <c r="E49" s="1">
        <f t="shared" si="1"/>
        <v>0.39722222222222225</v>
      </c>
    </row>
    <row r="50" spans="1:5" x14ac:dyDescent="0.3">
      <c r="A50" t="s">
        <v>29</v>
      </c>
      <c r="B50">
        <v>100</v>
      </c>
      <c r="C50" s="2">
        <f t="shared" si="0"/>
        <v>1.5300000000000092E-3</v>
      </c>
      <c r="D50">
        <v>1.9842</v>
      </c>
      <c r="E50" s="1">
        <f t="shared" si="1"/>
        <v>0.3979166666666667</v>
      </c>
    </row>
    <row r="51" spans="1:5" x14ac:dyDescent="0.3">
      <c r="A51" t="s">
        <v>33</v>
      </c>
      <c r="B51">
        <v>120</v>
      </c>
      <c r="C51" s="2">
        <f t="shared" ref="C51:C99" si="2">(D44-D51)/20</f>
        <v>9.5999999999998311E-4</v>
      </c>
      <c r="D51">
        <v>2.2886000000000002</v>
      </c>
      <c r="E51" s="1">
        <f t="shared" si="1"/>
        <v>0.40972222222222227</v>
      </c>
    </row>
    <row r="52" spans="1:5" x14ac:dyDescent="0.3">
      <c r="A52" t="s">
        <v>25</v>
      </c>
      <c r="B52">
        <v>120</v>
      </c>
      <c r="C52" s="2">
        <f t="shared" si="2"/>
        <v>9.5999999999998311E-4</v>
      </c>
      <c r="D52">
        <v>2.6779000000000002</v>
      </c>
      <c r="E52" s="1">
        <f t="shared" si="1"/>
        <v>0.41041666666666671</v>
      </c>
    </row>
    <row r="53" spans="1:5" x14ac:dyDescent="0.3">
      <c r="A53" t="s">
        <v>26</v>
      </c>
      <c r="B53">
        <v>120</v>
      </c>
      <c r="C53" s="2">
        <f t="shared" si="2"/>
        <v>1.0600000000000164E-3</v>
      </c>
      <c r="D53">
        <v>2.3445999999999998</v>
      </c>
      <c r="E53" s="1">
        <f t="shared" si="1"/>
        <v>0.41041666666666671</v>
      </c>
    </row>
    <row r="54" spans="1:5" x14ac:dyDescent="0.3">
      <c r="A54" t="s">
        <v>27</v>
      </c>
      <c r="B54">
        <v>120</v>
      </c>
      <c r="C54" s="2">
        <f t="shared" si="2"/>
        <v>1.5900000000000024E-3</v>
      </c>
      <c r="D54">
        <v>3.0358999999999998</v>
      </c>
      <c r="E54" s="1">
        <f t="shared" si="1"/>
        <v>0.41111111111111115</v>
      </c>
    </row>
    <row r="55" spans="1:5" x14ac:dyDescent="0.3">
      <c r="A55" t="s">
        <v>28</v>
      </c>
      <c r="B55">
        <v>120</v>
      </c>
      <c r="C55" s="2">
        <f t="shared" si="2"/>
        <v>7.4000000000000736E-4</v>
      </c>
      <c r="D55">
        <v>2.3940999999999999</v>
      </c>
      <c r="E55" s="1">
        <f t="shared" si="1"/>
        <v>0.41111111111111115</v>
      </c>
    </row>
    <row r="56" spans="1:5" x14ac:dyDescent="0.3">
      <c r="A56" t="s">
        <v>2</v>
      </c>
      <c r="B56">
        <v>120</v>
      </c>
      <c r="C56" s="2">
        <f t="shared" si="2"/>
        <v>1.0700000000000154E-3</v>
      </c>
      <c r="D56">
        <v>3.2690999999999999</v>
      </c>
      <c r="E56" s="1">
        <f t="shared" si="1"/>
        <v>0.41111111111111115</v>
      </c>
    </row>
    <row r="57" spans="1:5" x14ac:dyDescent="0.3">
      <c r="A57" t="s">
        <v>29</v>
      </c>
      <c r="B57">
        <v>120</v>
      </c>
      <c r="C57" s="2">
        <f t="shared" si="2"/>
        <v>1.3950000000000017E-3</v>
      </c>
      <c r="D57">
        <v>1.9562999999999999</v>
      </c>
      <c r="E57" s="1">
        <f t="shared" si="1"/>
        <v>0.41180555555555559</v>
      </c>
    </row>
    <row r="58" spans="1:5" x14ac:dyDescent="0.3">
      <c r="A58" t="s">
        <v>33</v>
      </c>
      <c r="B58">
        <v>140</v>
      </c>
      <c r="C58" s="2">
        <f t="shared" si="2"/>
        <v>9.5000000000000639E-4</v>
      </c>
      <c r="D58">
        <v>2.2696000000000001</v>
      </c>
      <c r="E58" s="1">
        <f t="shared" si="1"/>
        <v>0.42361111111111116</v>
      </c>
    </row>
    <row r="59" spans="1:5" x14ac:dyDescent="0.3">
      <c r="A59" t="s">
        <v>25</v>
      </c>
      <c r="B59">
        <v>140</v>
      </c>
      <c r="C59" s="2">
        <f t="shared" si="2"/>
        <v>1.0450000000000071E-3</v>
      </c>
      <c r="D59">
        <v>2.657</v>
      </c>
      <c r="E59" s="1">
        <f t="shared" si="1"/>
        <v>0.4243055555555556</v>
      </c>
    </row>
    <row r="60" spans="1:5" x14ac:dyDescent="0.3">
      <c r="A60" t="s">
        <v>26</v>
      </c>
      <c r="B60">
        <v>140</v>
      </c>
      <c r="C60" s="2">
        <f t="shared" si="2"/>
        <v>1.154999999999995E-3</v>
      </c>
      <c r="D60">
        <v>2.3214999999999999</v>
      </c>
      <c r="E60" s="1">
        <f t="shared" si="1"/>
        <v>0.4243055555555556</v>
      </c>
    </row>
    <row r="61" spans="1:5" x14ac:dyDescent="0.3">
      <c r="A61" t="s">
        <v>27</v>
      </c>
      <c r="B61">
        <v>140</v>
      </c>
      <c r="C61" s="2">
        <f t="shared" si="2"/>
        <v>1.3399999999999857E-3</v>
      </c>
      <c r="D61">
        <v>3.0091000000000001</v>
      </c>
      <c r="E61" s="1">
        <f t="shared" si="1"/>
        <v>0.42500000000000004</v>
      </c>
    </row>
    <row r="62" spans="1:5" x14ac:dyDescent="0.3">
      <c r="A62" t="s">
        <v>28</v>
      </c>
      <c r="B62">
        <v>140</v>
      </c>
      <c r="C62" s="2">
        <f t="shared" si="2"/>
        <v>9.0500000000000021E-4</v>
      </c>
      <c r="D62">
        <v>2.3759999999999999</v>
      </c>
      <c r="E62" s="1">
        <f t="shared" si="1"/>
        <v>0.42500000000000004</v>
      </c>
    </row>
    <row r="63" spans="1:5" x14ac:dyDescent="0.3">
      <c r="A63" t="s">
        <v>2</v>
      </c>
      <c r="B63">
        <v>140</v>
      </c>
      <c r="C63" s="2">
        <f t="shared" si="2"/>
        <v>1.154999999999995E-3</v>
      </c>
      <c r="D63">
        <v>3.246</v>
      </c>
      <c r="E63" s="1">
        <f t="shared" si="1"/>
        <v>0.42500000000000004</v>
      </c>
    </row>
    <row r="64" spans="1:5" x14ac:dyDescent="0.3">
      <c r="A64" t="s">
        <v>29</v>
      </c>
      <c r="B64">
        <v>140</v>
      </c>
      <c r="C64" s="2">
        <f t="shared" si="2"/>
        <v>1.5549999999999952E-3</v>
      </c>
      <c r="D64">
        <v>1.9252</v>
      </c>
      <c r="E64" s="1">
        <f t="shared" si="1"/>
        <v>0.42569444444444449</v>
      </c>
    </row>
    <row r="65" spans="1:5" x14ac:dyDescent="0.3">
      <c r="A65" t="s">
        <v>33</v>
      </c>
      <c r="B65">
        <v>160</v>
      </c>
      <c r="C65" s="2">
        <f t="shared" si="2"/>
        <v>9.549999999999947E-4</v>
      </c>
      <c r="D65">
        <v>2.2505000000000002</v>
      </c>
      <c r="E65" s="1">
        <f t="shared" si="1"/>
        <v>0.43750000000000006</v>
      </c>
    </row>
    <row r="66" spans="1:5" x14ac:dyDescent="0.3">
      <c r="A66" t="s">
        <v>25</v>
      </c>
      <c r="B66">
        <v>160</v>
      </c>
      <c r="C66" s="2">
        <f t="shared" si="2"/>
        <v>1.0350000000000081E-3</v>
      </c>
      <c r="D66">
        <v>2.6362999999999999</v>
      </c>
      <c r="E66" s="1">
        <f t="shared" si="1"/>
        <v>0.4381944444444445</v>
      </c>
    </row>
    <row r="67" spans="1:5" x14ac:dyDescent="0.3">
      <c r="A67" t="s">
        <v>26</v>
      </c>
      <c r="B67">
        <v>160</v>
      </c>
      <c r="C67" s="2">
        <f t="shared" si="2"/>
        <v>1.079999999999992E-3</v>
      </c>
      <c r="D67">
        <v>2.2999000000000001</v>
      </c>
      <c r="E67" s="1">
        <f t="shared" si="1"/>
        <v>0.4381944444444445</v>
      </c>
    </row>
    <row r="68" spans="1:5" x14ac:dyDescent="0.3">
      <c r="A68" t="s">
        <v>27</v>
      </c>
      <c r="B68">
        <v>160</v>
      </c>
      <c r="C68" s="2">
        <f t="shared" si="2"/>
        <v>9.6500000000001587E-4</v>
      </c>
      <c r="D68">
        <v>2.9897999999999998</v>
      </c>
      <c r="E68" s="1">
        <f t="shared" si="1"/>
        <v>0.43888888888888894</v>
      </c>
    </row>
    <row r="69" spans="1:5" x14ac:dyDescent="0.3">
      <c r="A69" t="s">
        <v>28</v>
      </c>
      <c r="B69">
        <v>160</v>
      </c>
      <c r="C69" s="2">
        <f t="shared" si="2"/>
        <v>7.9499999999999016E-4</v>
      </c>
      <c r="D69">
        <v>2.3601000000000001</v>
      </c>
      <c r="E69" s="1">
        <f t="shared" si="1"/>
        <v>0.43888888888888894</v>
      </c>
    </row>
    <row r="70" spans="1:5" x14ac:dyDescent="0.3">
      <c r="A70" t="s">
        <v>2</v>
      </c>
      <c r="B70">
        <v>160</v>
      </c>
      <c r="C70" s="2">
        <f t="shared" si="2"/>
        <v>1.0150000000000103E-3</v>
      </c>
      <c r="D70">
        <v>3.2256999999999998</v>
      </c>
      <c r="E70" s="1">
        <f t="shared" si="1"/>
        <v>0.43888888888888894</v>
      </c>
    </row>
    <row r="71" spans="1:5" x14ac:dyDescent="0.3">
      <c r="A71" t="s">
        <v>29</v>
      </c>
      <c r="B71">
        <v>160</v>
      </c>
      <c r="C71" s="2">
        <f t="shared" si="2"/>
        <v>1.4449999999999962E-3</v>
      </c>
      <c r="D71">
        <v>1.8963000000000001</v>
      </c>
      <c r="E71" s="1">
        <f t="shared" si="1"/>
        <v>0.43958333333333338</v>
      </c>
    </row>
    <row r="72" spans="1:5" x14ac:dyDescent="0.3">
      <c r="A72" t="s">
        <v>33</v>
      </c>
      <c r="B72">
        <v>180</v>
      </c>
      <c r="C72" s="2">
        <f t="shared" si="2"/>
        <v>9.2000000000000968E-4</v>
      </c>
      <c r="D72">
        <v>2.2321</v>
      </c>
      <c r="E72" s="1">
        <f t="shared" si="1"/>
        <v>0.45138888888888895</v>
      </c>
    </row>
    <row r="73" spans="1:5" x14ac:dyDescent="0.3">
      <c r="A73" t="s">
        <v>25</v>
      </c>
      <c r="B73">
        <v>180</v>
      </c>
      <c r="C73" s="2">
        <f t="shared" si="2"/>
        <v>9.9000000000000195E-4</v>
      </c>
      <c r="D73">
        <v>2.6164999999999998</v>
      </c>
      <c r="E73" s="1">
        <f t="shared" si="1"/>
        <v>0.45208333333333339</v>
      </c>
    </row>
    <row r="74" spans="1:5" x14ac:dyDescent="0.3">
      <c r="A74" t="s">
        <v>26</v>
      </c>
      <c r="B74">
        <v>180</v>
      </c>
      <c r="C74" s="2">
        <f t="shared" si="2"/>
        <v>1.0399999999999964E-3</v>
      </c>
      <c r="D74">
        <v>2.2791000000000001</v>
      </c>
      <c r="E74" s="1">
        <f t="shared" si="1"/>
        <v>0.45208333333333339</v>
      </c>
    </row>
    <row r="75" spans="1:5" x14ac:dyDescent="0.3">
      <c r="A75" t="s">
        <v>27</v>
      </c>
      <c r="B75">
        <v>180</v>
      </c>
      <c r="C75" s="2">
        <f t="shared" si="2"/>
        <v>8.849999999999802E-4</v>
      </c>
      <c r="D75">
        <v>2.9721000000000002</v>
      </c>
      <c r="E75" s="1">
        <f t="shared" si="1"/>
        <v>0.45277777777777783</v>
      </c>
    </row>
    <row r="76" spans="1:5" x14ac:dyDescent="0.3">
      <c r="A76" t="s">
        <v>28</v>
      </c>
      <c r="B76">
        <v>180</v>
      </c>
      <c r="C76" s="2">
        <f t="shared" si="2"/>
        <v>8.3500000000000794E-4</v>
      </c>
      <c r="D76">
        <v>2.3433999999999999</v>
      </c>
      <c r="E76" s="1">
        <f t="shared" si="1"/>
        <v>0.45277777777777783</v>
      </c>
    </row>
    <row r="77" spans="1:5" x14ac:dyDescent="0.3">
      <c r="A77" t="s">
        <v>2</v>
      </c>
      <c r="B77">
        <v>180</v>
      </c>
      <c r="C77" s="2">
        <f t="shared" si="2"/>
        <v>1.0649999999999826E-3</v>
      </c>
      <c r="D77">
        <v>3.2044000000000001</v>
      </c>
      <c r="E77" s="1">
        <f t="shared" si="1"/>
        <v>0.45277777777777783</v>
      </c>
    </row>
    <row r="78" spans="1:5" x14ac:dyDescent="0.3">
      <c r="A78" t="s">
        <v>29</v>
      </c>
      <c r="B78">
        <v>180</v>
      </c>
      <c r="C78" s="2">
        <f t="shared" si="2"/>
        <v>1.4149999999999996E-3</v>
      </c>
      <c r="D78">
        <v>1.8680000000000001</v>
      </c>
      <c r="E78" s="1">
        <f t="shared" si="1"/>
        <v>0.45347222222222228</v>
      </c>
    </row>
    <row r="79" spans="1:5" x14ac:dyDescent="0.3">
      <c r="A79" t="s">
        <v>33</v>
      </c>
      <c r="B79">
        <v>200</v>
      </c>
      <c r="C79" s="2">
        <f t="shared" si="2"/>
        <v>9.3000000000000862E-4</v>
      </c>
      <c r="D79">
        <v>2.2134999999999998</v>
      </c>
      <c r="E79" s="1">
        <f t="shared" si="1"/>
        <v>0.46527777777777785</v>
      </c>
    </row>
    <row r="80" spans="1:5" x14ac:dyDescent="0.3">
      <c r="A80" t="s">
        <v>25</v>
      </c>
      <c r="B80">
        <v>200</v>
      </c>
      <c r="C80" s="2">
        <f t="shared" si="2"/>
        <v>9.9499999999999025E-4</v>
      </c>
      <c r="D80">
        <v>2.5966</v>
      </c>
      <c r="E80" s="1">
        <f t="shared" si="1"/>
        <v>0.46597222222222229</v>
      </c>
    </row>
    <row r="81" spans="1:5" x14ac:dyDescent="0.3">
      <c r="A81" t="s">
        <v>26</v>
      </c>
      <c r="B81">
        <v>200</v>
      </c>
      <c r="C81" s="2">
        <f t="shared" si="2"/>
        <v>1.1449999999999961E-3</v>
      </c>
      <c r="D81">
        <v>2.2562000000000002</v>
      </c>
      <c r="E81" s="1">
        <f t="shared" ref="E81:E99" si="3">E74+(20/1440)</f>
        <v>0.46597222222222229</v>
      </c>
    </row>
    <row r="82" spans="1:5" x14ac:dyDescent="0.3">
      <c r="A82" t="s">
        <v>27</v>
      </c>
      <c r="B82">
        <v>200</v>
      </c>
      <c r="C82" s="2">
        <f t="shared" si="2"/>
        <v>9.4500000000001809E-4</v>
      </c>
      <c r="D82">
        <v>2.9531999999999998</v>
      </c>
      <c r="E82" s="1">
        <f t="shared" si="3"/>
        <v>0.46666666666666673</v>
      </c>
    </row>
    <row r="83" spans="1:5" x14ac:dyDescent="0.3">
      <c r="A83" t="s">
        <v>28</v>
      </c>
      <c r="B83">
        <v>200</v>
      </c>
      <c r="C83" s="2">
        <f t="shared" si="2"/>
        <v>8.8999999999999084E-4</v>
      </c>
      <c r="D83">
        <v>2.3256000000000001</v>
      </c>
      <c r="E83" s="1">
        <f t="shared" si="3"/>
        <v>0.46666666666666673</v>
      </c>
    </row>
    <row r="84" spans="1:5" x14ac:dyDescent="0.3">
      <c r="A84" t="s">
        <v>2</v>
      </c>
      <c r="B84">
        <v>200</v>
      </c>
      <c r="C84" s="2">
        <f t="shared" si="2"/>
        <v>1.1050000000000005E-3</v>
      </c>
      <c r="D84">
        <v>3.1823000000000001</v>
      </c>
      <c r="E84" s="1">
        <f t="shared" si="3"/>
        <v>0.46666666666666673</v>
      </c>
    </row>
    <row r="85" spans="1:5" x14ac:dyDescent="0.3">
      <c r="A85" t="s">
        <v>29</v>
      </c>
      <c r="B85">
        <v>200</v>
      </c>
      <c r="C85" s="2">
        <f t="shared" si="2"/>
        <v>1.5500000000000069E-3</v>
      </c>
      <c r="D85">
        <v>1.837</v>
      </c>
      <c r="E85" s="1">
        <f t="shared" si="3"/>
        <v>0.46736111111111117</v>
      </c>
    </row>
    <row r="86" spans="1:5" x14ac:dyDescent="0.3">
      <c r="A86" t="s">
        <v>33</v>
      </c>
      <c r="B86">
        <v>220</v>
      </c>
      <c r="C86" s="2">
        <f t="shared" si="2"/>
        <v>9.4999999999998417E-4</v>
      </c>
      <c r="D86">
        <v>2.1945000000000001</v>
      </c>
      <c r="E86" s="1">
        <f t="shared" si="3"/>
        <v>0.47916666666666674</v>
      </c>
    </row>
    <row r="87" spans="1:5" x14ac:dyDescent="0.3">
      <c r="A87" t="s">
        <v>25</v>
      </c>
      <c r="B87">
        <v>220</v>
      </c>
      <c r="C87" s="2">
        <f t="shared" si="2"/>
        <v>9.4000000000000745E-4</v>
      </c>
      <c r="D87">
        <v>2.5777999999999999</v>
      </c>
      <c r="E87" s="1">
        <f t="shared" si="3"/>
        <v>0.47986111111111118</v>
      </c>
    </row>
    <row r="88" spans="1:5" x14ac:dyDescent="0.3">
      <c r="A88" t="s">
        <v>26</v>
      </c>
      <c r="B88">
        <v>220</v>
      </c>
      <c r="C88" s="2">
        <f t="shared" si="2"/>
        <v>9.1000000000001084E-4</v>
      </c>
      <c r="D88">
        <v>2.238</v>
      </c>
      <c r="E88" s="1">
        <f t="shared" si="3"/>
        <v>0.47986111111111118</v>
      </c>
    </row>
    <row r="89" spans="1:5" x14ac:dyDescent="0.3">
      <c r="A89" t="s">
        <v>27</v>
      </c>
      <c r="B89">
        <v>220</v>
      </c>
      <c r="C89" s="2">
        <f t="shared" si="2"/>
        <v>7.5499999999999461E-4</v>
      </c>
      <c r="D89">
        <v>2.9380999999999999</v>
      </c>
      <c r="E89" s="1">
        <f t="shared" si="3"/>
        <v>0.48055555555555562</v>
      </c>
    </row>
    <row r="90" spans="1:5" x14ac:dyDescent="0.3">
      <c r="A90" t="s">
        <v>28</v>
      </c>
      <c r="B90">
        <v>220</v>
      </c>
      <c r="C90" s="2">
        <f t="shared" si="2"/>
        <v>6.1999999999999837E-4</v>
      </c>
      <c r="D90">
        <v>2.3132000000000001</v>
      </c>
      <c r="E90" s="1">
        <f t="shared" si="3"/>
        <v>0.48055555555555562</v>
      </c>
    </row>
    <row r="91" spans="1:5" x14ac:dyDescent="0.3">
      <c r="A91" t="s">
        <v>2</v>
      </c>
      <c r="B91">
        <v>220</v>
      </c>
      <c r="C91" s="2">
        <f t="shared" si="2"/>
        <v>8.6500000000000465E-4</v>
      </c>
      <c r="D91">
        <v>3.165</v>
      </c>
      <c r="E91" s="1">
        <f t="shared" si="3"/>
        <v>0.48055555555555562</v>
      </c>
    </row>
    <row r="92" spans="1:5" x14ac:dyDescent="0.3">
      <c r="A92" t="s">
        <v>29</v>
      </c>
      <c r="B92">
        <v>220</v>
      </c>
      <c r="C92" s="2">
        <f t="shared" si="2"/>
        <v>1.1249999999999982E-3</v>
      </c>
      <c r="D92">
        <v>1.8145</v>
      </c>
      <c r="E92" s="1">
        <f t="shared" si="3"/>
        <v>0.48125000000000007</v>
      </c>
    </row>
    <row r="93" spans="1:5" x14ac:dyDescent="0.3">
      <c r="A93" t="s">
        <v>33</v>
      </c>
      <c r="B93">
        <v>240</v>
      </c>
      <c r="C93" s="2">
        <f t="shared" si="2"/>
        <v>8.8000000000001413E-4</v>
      </c>
      <c r="D93">
        <v>2.1768999999999998</v>
      </c>
      <c r="E93" s="1">
        <f t="shared" si="3"/>
        <v>0.49305555555555564</v>
      </c>
    </row>
    <row r="94" spans="1:5" x14ac:dyDescent="0.3">
      <c r="A94" t="s">
        <v>25</v>
      </c>
      <c r="B94">
        <v>240</v>
      </c>
      <c r="C94" s="2">
        <f t="shared" si="2"/>
        <v>9.3999999999998534E-4</v>
      </c>
      <c r="D94">
        <v>2.5590000000000002</v>
      </c>
      <c r="E94" s="1">
        <f t="shared" si="3"/>
        <v>0.49375000000000008</v>
      </c>
    </row>
    <row r="95" spans="1:5" x14ac:dyDescent="0.3">
      <c r="A95" t="s">
        <v>26</v>
      </c>
      <c r="B95">
        <v>240</v>
      </c>
      <c r="C95" s="2">
        <f t="shared" si="2"/>
        <v>9.7499999999999258E-4</v>
      </c>
      <c r="D95">
        <v>2.2185000000000001</v>
      </c>
      <c r="E95" s="1">
        <f t="shared" si="3"/>
        <v>0.49375000000000008</v>
      </c>
    </row>
    <row r="96" spans="1:5" x14ac:dyDescent="0.3">
      <c r="A96" t="s">
        <v>27</v>
      </c>
      <c r="B96">
        <v>240</v>
      </c>
      <c r="C96" s="2">
        <f t="shared" si="2"/>
        <v>1.0750000000000037E-3</v>
      </c>
      <c r="D96">
        <v>2.9165999999999999</v>
      </c>
      <c r="E96" s="1">
        <f t="shared" si="3"/>
        <v>0.49444444444444452</v>
      </c>
    </row>
    <row r="97" spans="1:5" x14ac:dyDescent="0.3">
      <c r="A97" t="s">
        <v>28</v>
      </c>
      <c r="B97">
        <v>240</v>
      </c>
      <c r="C97" s="2">
        <f>(D90-D97)/20</f>
        <v>8.2999999999999741E-4</v>
      </c>
      <c r="D97">
        <v>2.2966000000000002</v>
      </c>
      <c r="E97" s="1">
        <f t="shared" si="3"/>
        <v>0.49444444444444452</v>
      </c>
    </row>
    <row r="98" spans="1:5" x14ac:dyDescent="0.3">
      <c r="A98" t="s">
        <v>2</v>
      </c>
      <c r="B98">
        <v>240</v>
      </c>
      <c r="C98" s="2">
        <f t="shared" si="2"/>
        <v>1.0250000000000092E-3</v>
      </c>
      <c r="D98">
        <v>3.1444999999999999</v>
      </c>
      <c r="E98" s="1">
        <f t="shared" si="3"/>
        <v>0.49444444444444452</v>
      </c>
    </row>
    <row r="99" spans="1:5" x14ac:dyDescent="0.3">
      <c r="A99" t="s">
        <v>29</v>
      </c>
      <c r="B99">
        <v>240</v>
      </c>
      <c r="C99" s="2">
        <f t="shared" si="2"/>
        <v>1.385000000000003E-3</v>
      </c>
      <c r="D99">
        <v>1.7867999999999999</v>
      </c>
      <c r="E99" s="1">
        <f t="shared" si="3"/>
        <v>0.49513888888888896</v>
      </c>
    </row>
    <row r="100" spans="1:5" x14ac:dyDescent="0.3">
      <c r="E100" s="1"/>
    </row>
    <row r="101" spans="1:5" x14ac:dyDescent="0.3">
      <c r="E101" s="1"/>
    </row>
    <row r="102" spans="1:5" x14ac:dyDescent="0.3">
      <c r="E102" s="1"/>
    </row>
    <row r="103" spans="1:5" x14ac:dyDescent="0.3">
      <c r="E103" s="1"/>
    </row>
    <row r="104" spans="1:5" x14ac:dyDescent="0.3">
      <c r="E104" s="1"/>
    </row>
    <row r="105" spans="1:5" x14ac:dyDescent="0.3">
      <c r="E105" s="1"/>
    </row>
    <row r="106" spans="1:5" x14ac:dyDescent="0.3">
      <c r="E106" s="1"/>
    </row>
    <row r="107" spans="1:5" x14ac:dyDescent="0.3">
      <c r="E107" s="1"/>
    </row>
    <row r="108" spans="1:5" x14ac:dyDescent="0.3">
      <c r="E108" s="1"/>
    </row>
    <row r="109" spans="1:5" x14ac:dyDescent="0.3">
      <c r="E109" s="1"/>
    </row>
    <row r="110" spans="1:5" x14ac:dyDescent="0.3">
      <c r="E110" s="1"/>
    </row>
    <row r="111" spans="1:5" x14ac:dyDescent="0.3">
      <c r="E111" s="1"/>
    </row>
    <row r="112" spans="1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2855-D76C-465C-AE57-6149A0CFB9AE}">
  <dimension ref="A1:E121"/>
  <sheetViews>
    <sheetView workbookViewId="0">
      <selection activeCell="A2" activeCellId="1" sqref="A8:C8 A2:D7"/>
    </sheetView>
  </sheetViews>
  <sheetFormatPr baseColWidth="10" defaultRowHeight="14.4" x14ac:dyDescent="0.3"/>
  <cols>
    <col min="3" max="3" width="11.5546875" style="5"/>
    <col min="6" max="6" width="19" bestFit="1" customWidth="1"/>
  </cols>
  <sheetData>
    <row r="1" spans="1:5" x14ac:dyDescent="0.3">
      <c r="A1" t="s">
        <v>0</v>
      </c>
      <c r="B1" t="s">
        <v>59</v>
      </c>
      <c r="C1" s="5" t="s">
        <v>61</v>
      </c>
      <c r="D1" t="s">
        <v>50</v>
      </c>
      <c r="E1" t="s">
        <v>51</v>
      </c>
    </row>
    <row r="2" spans="1:5" x14ac:dyDescent="0.3">
      <c r="A2" t="s">
        <v>52</v>
      </c>
      <c r="B2" t="s">
        <v>60</v>
      </c>
      <c r="D2">
        <v>1.4294</v>
      </c>
      <c r="E2" s="1">
        <v>0.3298611111111111</v>
      </c>
    </row>
    <row r="3" spans="1:5" x14ac:dyDescent="0.3">
      <c r="A3" t="s">
        <v>53</v>
      </c>
      <c r="B3" t="s">
        <v>60</v>
      </c>
      <c r="D3">
        <v>1.1678999999999999</v>
      </c>
      <c r="E3" s="1">
        <v>0.33124999999999999</v>
      </c>
    </row>
    <row r="4" spans="1:5" x14ac:dyDescent="0.3">
      <c r="A4" t="s">
        <v>54</v>
      </c>
      <c r="B4" t="s">
        <v>60</v>
      </c>
      <c r="D4">
        <v>3.2578999999999998</v>
      </c>
      <c r="E4" s="1">
        <v>0.33194444444444443</v>
      </c>
    </row>
    <row r="5" spans="1:5" x14ac:dyDescent="0.3">
      <c r="A5" t="s">
        <v>55</v>
      </c>
      <c r="B5" t="s">
        <v>60</v>
      </c>
      <c r="D5">
        <v>1.0081</v>
      </c>
      <c r="E5" s="1">
        <v>0.33333333333333331</v>
      </c>
    </row>
    <row r="6" spans="1:5" x14ac:dyDescent="0.3">
      <c r="A6" t="s">
        <v>56</v>
      </c>
      <c r="B6" t="s">
        <v>60</v>
      </c>
      <c r="D6">
        <v>2.8109999999999999</v>
      </c>
      <c r="E6" s="1">
        <v>0.33402777777777776</v>
      </c>
    </row>
    <row r="7" spans="1:5" x14ac:dyDescent="0.3">
      <c r="A7" t="s">
        <v>57</v>
      </c>
      <c r="B7" t="s">
        <v>60</v>
      </c>
      <c r="D7">
        <v>1.9417</v>
      </c>
      <c r="E7" s="1">
        <v>0.33611111111111114</v>
      </c>
    </row>
    <row r="8" spans="1:5" x14ac:dyDescent="0.3">
      <c r="A8" t="s">
        <v>58</v>
      </c>
      <c r="B8" t="s">
        <v>60</v>
      </c>
      <c r="D8">
        <v>3.1341000000000001</v>
      </c>
      <c r="E8" s="1">
        <v>0.33680555555555558</v>
      </c>
    </row>
    <row r="9" spans="1:5" x14ac:dyDescent="0.3">
      <c r="A9" t="s">
        <v>52</v>
      </c>
      <c r="B9">
        <v>0</v>
      </c>
      <c r="C9" s="5">
        <v>0</v>
      </c>
      <c r="D9">
        <v>1.4164000000000001</v>
      </c>
      <c r="E9" s="1">
        <v>0.33819444444444446</v>
      </c>
    </row>
    <row r="10" spans="1:5" x14ac:dyDescent="0.3">
      <c r="A10" t="s">
        <v>53</v>
      </c>
      <c r="B10">
        <v>0</v>
      </c>
      <c r="C10" s="5">
        <v>0</v>
      </c>
      <c r="D10">
        <v>1.1617999999999999</v>
      </c>
      <c r="E10" s="1">
        <f t="shared" ref="E10:E15" si="0">E3+(12/1440)</f>
        <v>0.33958333333333335</v>
      </c>
    </row>
    <row r="11" spans="1:5" x14ac:dyDescent="0.3">
      <c r="A11" t="s">
        <v>54</v>
      </c>
      <c r="B11">
        <v>0</v>
      </c>
      <c r="C11" s="5">
        <v>0</v>
      </c>
      <c r="D11">
        <v>3.2391000000000001</v>
      </c>
      <c r="E11" s="1">
        <f t="shared" si="0"/>
        <v>0.34027777777777779</v>
      </c>
    </row>
    <row r="12" spans="1:5" x14ac:dyDescent="0.3">
      <c r="A12" t="s">
        <v>55</v>
      </c>
      <c r="B12">
        <v>0</v>
      </c>
      <c r="C12" s="5">
        <v>0</v>
      </c>
      <c r="D12">
        <v>0.99450000000000005</v>
      </c>
      <c r="E12" s="1">
        <f t="shared" si="0"/>
        <v>0.34166666666666667</v>
      </c>
    </row>
    <row r="13" spans="1:5" x14ac:dyDescent="0.3">
      <c r="A13" t="s">
        <v>56</v>
      </c>
      <c r="B13">
        <v>0</v>
      </c>
      <c r="C13" s="5">
        <v>0</v>
      </c>
      <c r="D13">
        <v>2.7959000000000001</v>
      </c>
      <c r="E13" s="1">
        <f t="shared" si="0"/>
        <v>0.34236111111111112</v>
      </c>
    </row>
    <row r="14" spans="1:5" x14ac:dyDescent="0.3">
      <c r="A14" t="s">
        <v>57</v>
      </c>
      <c r="B14">
        <v>0</v>
      </c>
      <c r="C14" s="5">
        <v>0</v>
      </c>
      <c r="D14">
        <v>1.9234</v>
      </c>
      <c r="E14" s="1">
        <f t="shared" si="0"/>
        <v>0.3444444444444445</v>
      </c>
    </row>
    <row r="15" spans="1:5" x14ac:dyDescent="0.3">
      <c r="A15" t="s">
        <v>58</v>
      </c>
      <c r="B15">
        <v>0</v>
      </c>
      <c r="C15" s="5">
        <v>0</v>
      </c>
      <c r="D15">
        <v>3.1175000000000002</v>
      </c>
      <c r="E15" s="1">
        <f t="shared" si="0"/>
        <v>0.34513888888888894</v>
      </c>
    </row>
    <row r="16" spans="1:5" x14ac:dyDescent="0.3">
      <c r="A16" t="s">
        <v>52</v>
      </c>
      <c r="B16">
        <v>20</v>
      </c>
      <c r="C16" s="5">
        <f>(D9-D16)/20</f>
        <v>9.9500000000000153E-4</v>
      </c>
      <c r="D16">
        <v>1.3965000000000001</v>
      </c>
      <c r="E16" s="1">
        <f t="shared" ref="E16:E22" si="1">E9+(20/1440)</f>
        <v>0.35208333333333336</v>
      </c>
    </row>
    <row r="17" spans="1:5" x14ac:dyDescent="0.3">
      <c r="A17" t="s">
        <v>53</v>
      </c>
      <c r="B17">
        <v>20</v>
      </c>
      <c r="C17" s="5">
        <f t="shared" ref="C17:C22" si="2">(D10-D17)/20</f>
        <v>5.1999999999999822E-4</v>
      </c>
      <c r="D17">
        <v>1.1514</v>
      </c>
      <c r="E17" s="1">
        <f t="shared" si="1"/>
        <v>0.35347222222222224</v>
      </c>
    </row>
    <row r="18" spans="1:5" x14ac:dyDescent="0.3">
      <c r="A18" t="s">
        <v>54</v>
      </c>
      <c r="B18">
        <v>20</v>
      </c>
      <c r="C18" s="5">
        <f t="shared" si="2"/>
        <v>1.4100000000000002E-3</v>
      </c>
      <c r="D18">
        <v>3.2109000000000001</v>
      </c>
      <c r="E18" s="1">
        <f t="shared" si="1"/>
        <v>0.35416666666666669</v>
      </c>
    </row>
    <row r="19" spans="1:5" x14ac:dyDescent="0.3">
      <c r="A19" t="s">
        <v>55</v>
      </c>
      <c r="B19">
        <v>20</v>
      </c>
      <c r="C19" s="5">
        <f t="shared" si="2"/>
        <v>9.3000000000000309E-4</v>
      </c>
      <c r="D19">
        <v>0.97589999999999999</v>
      </c>
      <c r="E19" s="1">
        <f t="shared" si="1"/>
        <v>0.35555555555555557</v>
      </c>
    </row>
    <row r="20" spans="1:5" x14ac:dyDescent="0.3">
      <c r="A20" t="s">
        <v>56</v>
      </c>
      <c r="B20">
        <v>20</v>
      </c>
      <c r="C20" s="5">
        <f t="shared" si="2"/>
        <v>1.1649999999999937E-3</v>
      </c>
      <c r="D20">
        <v>2.7726000000000002</v>
      </c>
      <c r="E20" s="1">
        <f t="shared" si="1"/>
        <v>0.35625000000000001</v>
      </c>
    </row>
    <row r="21" spans="1:5" x14ac:dyDescent="0.3">
      <c r="A21" t="s">
        <v>57</v>
      </c>
      <c r="B21">
        <v>20</v>
      </c>
      <c r="C21" s="5">
        <f t="shared" si="2"/>
        <v>1.3399999999999968E-3</v>
      </c>
      <c r="D21">
        <v>1.8966000000000001</v>
      </c>
      <c r="E21" s="1">
        <f t="shared" si="1"/>
        <v>0.35833333333333339</v>
      </c>
    </row>
    <row r="22" spans="1:5" x14ac:dyDescent="0.3">
      <c r="A22" t="s">
        <v>58</v>
      </c>
      <c r="B22">
        <v>20</v>
      </c>
      <c r="C22" s="5">
        <f t="shared" si="2"/>
        <v>1.3349999999999972E-3</v>
      </c>
      <c r="D22">
        <v>3.0908000000000002</v>
      </c>
      <c r="E22" s="1">
        <f t="shared" si="1"/>
        <v>0.35902777777777783</v>
      </c>
    </row>
    <row r="23" spans="1:5" x14ac:dyDescent="0.3">
      <c r="A23" t="s">
        <v>52</v>
      </c>
      <c r="B23">
        <v>40</v>
      </c>
      <c r="C23" s="5">
        <f>(D16-D23)/20</f>
        <v>9.9500000000000153E-4</v>
      </c>
      <c r="D23">
        <v>1.3766</v>
      </c>
      <c r="E23" s="1">
        <f t="shared" ref="E23:E86" si="3">E16+(20/1440)</f>
        <v>0.36597222222222225</v>
      </c>
    </row>
    <row r="24" spans="1:5" x14ac:dyDescent="0.3">
      <c r="A24" t="s">
        <v>53</v>
      </c>
      <c r="B24">
        <v>40</v>
      </c>
      <c r="C24" s="5">
        <f t="shared" ref="C24:C87" si="4">(D17-D24)/20</f>
        <v>4.9500000000000097E-4</v>
      </c>
      <c r="D24">
        <v>1.1415</v>
      </c>
      <c r="E24" s="1">
        <f t="shared" si="3"/>
        <v>0.36736111111111114</v>
      </c>
    </row>
    <row r="25" spans="1:5" x14ac:dyDescent="0.3">
      <c r="A25" t="s">
        <v>54</v>
      </c>
      <c r="B25">
        <v>40</v>
      </c>
      <c r="C25" s="5">
        <f t="shared" si="4"/>
        <v>1.3549999999999951E-3</v>
      </c>
      <c r="D25">
        <v>3.1838000000000002</v>
      </c>
      <c r="E25" s="1">
        <f t="shared" si="3"/>
        <v>0.36805555555555558</v>
      </c>
    </row>
    <row r="26" spans="1:5" x14ac:dyDescent="0.3">
      <c r="A26" t="s">
        <v>55</v>
      </c>
      <c r="B26">
        <v>40</v>
      </c>
      <c r="C26" s="5">
        <f t="shared" si="4"/>
        <v>9.0999999999999968E-4</v>
      </c>
      <c r="D26">
        <v>0.9577</v>
      </c>
      <c r="E26" s="1">
        <f t="shared" si="3"/>
        <v>0.36944444444444446</v>
      </c>
    </row>
    <row r="27" spans="1:5" x14ac:dyDescent="0.3">
      <c r="A27" t="s">
        <v>56</v>
      </c>
      <c r="B27">
        <v>40</v>
      </c>
      <c r="C27" s="5">
        <f t="shared" si="4"/>
        <v>1.3249999999999985E-3</v>
      </c>
      <c r="D27">
        <v>2.7461000000000002</v>
      </c>
      <c r="E27" s="1">
        <f t="shared" si="3"/>
        <v>0.37013888888888891</v>
      </c>
    </row>
    <row r="28" spans="1:5" x14ac:dyDescent="0.3">
      <c r="A28" t="s">
        <v>57</v>
      </c>
      <c r="B28">
        <v>40</v>
      </c>
      <c r="C28" s="5">
        <f t="shared" si="4"/>
        <v>1.2600000000000055E-3</v>
      </c>
      <c r="D28">
        <v>1.8714</v>
      </c>
      <c r="E28" s="1">
        <f t="shared" si="3"/>
        <v>0.37222222222222229</v>
      </c>
    </row>
    <row r="29" spans="1:5" x14ac:dyDescent="0.3">
      <c r="A29" t="s">
        <v>58</v>
      </c>
      <c r="B29">
        <v>40</v>
      </c>
      <c r="C29" s="5">
        <f t="shared" si="4"/>
        <v>1.2650000000000051E-3</v>
      </c>
      <c r="D29">
        <v>3.0655000000000001</v>
      </c>
      <c r="E29" s="1">
        <f t="shared" si="3"/>
        <v>0.37291666666666673</v>
      </c>
    </row>
    <row r="30" spans="1:5" x14ac:dyDescent="0.3">
      <c r="A30" t="s">
        <v>52</v>
      </c>
      <c r="B30">
        <v>60</v>
      </c>
      <c r="C30" s="5">
        <f t="shared" si="4"/>
        <v>9.1499999999999915E-4</v>
      </c>
      <c r="D30">
        <v>1.3583000000000001</v>
      </c>
      <c r="E30" s="1">
        <f t="shared" si="3"/>
        <v>0.37986111111111115</v>
      </c>
    </row>
    <row r="31" spans="1:5" x14ac:dyDescent="0.3">
      <c r="A31" t="s">
        <v>53</v>
      </c>
      <c r="B31">
        <v>60</v>
      </c>
      <c r="C31" s="5">
        <f t="shared" si="4"/>
        <v>4.3999999999999595E-4</v>
      </c>
      <c r="D31">
        <v>1.1327</v>
      </c>
      <c r="E31" s="1">
        <f t="shared" si="3"/>
        <v>0.38125000000000003</v>
      </c>
    </row>
    <row r="32" spans="1:5" x14ac:dyDescent="0.3">
      <c r="A32" t="s">
        <v>54</v>
      </c>
      <c r="B32">
        <v>60</v>
      </c>
      <c r="C32" s="5">
        <f t="shared" si="4"/>
        <v>1.3149999999999995E-3</v>
      </c>
      <c r="D32">
        <v>3.1575000000000002</v>
      </c>
      <c r="E32" s="1">
        <f t="shared" si="3"/>
        <v>0.38194444444444448</v>
      </c>
    </row>
    <row r="33" spans="1:5" x14ac:dyDescent="0.3">
      <c r="A33" t="s">
        <v>55</v>
      </c>
      <c r="B33">
        <v>60</v>
      </c>
      <c r="C33" s="5">
        <f t="shared" si="4"/>
        <v>8.3500000000000241E-4</v>
      </c>
      <c r="D33">
        <v>0.94099999999999995</v>
      </c>
      <c r="E33" s="1">
        <f t="shared" si="3"/>
        <v>0.38333333333333336</v>
      </c>
    </row>
    <row r="34" spans="1:5" x14ac:dyDescent="0.3">
      <c r="A34" t="s">
        <v>56</v>
      </c>
      <c r="B34">
        <v>60</v>
      </c>
      <c r="C34" s="5">
        <f t="shared" si="4"/>
        <v>8.5000000000001741E-4</v>
      </c>
      <c r="D34">
        <v>2.7290999999999999</v>
      </c>
      <c r="E34" s="1">
        <f t="shared" si="3"/>
        <v>0.3840277777777778</v>
      </c>
    </row>
    <row r="35" spans="1:5" x14ac:dyDescent="0.3">
      <c r="A35" t="s">
        <v>57</v>
      </c>
      <c r="B35">
        <v>60</v>
      </c>
      <c r="C35" s="5">
        <f t="shared" si="4"/>
        <v>1.2449999999999961E-3</v>
      </c>
      <c r="D35">
        <v>1.8465</v>
      </c>
      <c r="E35" s="1">
        <f t="shared" si="3"/>
        <v>0.38611111111111118</v>
      </c>
    </row>
    <row r="36" spans="1:5" x14ac:dyDescent="0.3">
      <c r="A36" t="s">
        <v>58</v>
      </c>
      <c r="B36">
        <v>60</v>
      </c>
      <c r="C36" s="5">
        <f t="shared" si="4"/>
        <v>1.3249999999999985E-3</v>
      </c>
      <c r="D36">
        <v>3.0390000000000001</v>
      </c>
      <c r="E36" s="1">
        <f t="shared" si="3"/>
        <v>0.38680555555555562</v>
      </c>
    </row>
    <row r="37" spans="1:5" x14ac:dyDescent="0.3">
      <c r="A37" t="s">
        <v>52</v>
      </c>
      <c r="B37">
        <v>80</v>
      </c>
      <c r="C37" s="5">
        <f t="shared" si="4"/>
        <v>8.8500000000000243E-4</v>
      </c>
      <c r="D37">
        <v>1.3406</v>
      </c>
      <c r="E37" s="1">
        <f t="shared" si="3"/>
        <v>0.39375000000000004</v>
      </c>
    </row>
    <row r="38" spans="1:5" x14ac:dyDescent="0.3">
      <c r="A38" t="s">
        <v>53</v>
      </c>
      <c r="B38">
        <v>80</v>
      </c>
      <c r="C38" s="5">
        <f t="shared" si="4"/>
        <v>4.6000000000000484E-4</v>
      </c>
      <c r="D38">
        <v>1.1234999999999999</v>
      </c>
      <c r="E38" s="1">
        <f t="shared" si="3"/>
        <v>0.39513888888888893</v>
      </c>
    </row>
    <row r="39" spans="1:5" x14ac:dyDescent="0.3">
      <c r="A39" t="s">
        <v>54</v>
      </c>
      <c r="B39">
        <v>80</v>
      </c>
      <c r="C39" s="5">
        <f t="shared" si="4"/>
        <v>1.2550000000000061E-3</v>
      </c>
      <c r="D39">
        <v>3.1324000000000001</v>
      </c>
      <c r="E39" s="1">
        <f t="shared" si="3"/>
        <v>0.39583333333333337</v>
      </c>
    </row>
    <row r="40" spans="1:5" x14ac:dyDescent="0.3">
      <c r="A40" t="s">
        <v>55</v>
      </c>
      <c r="B40">
        <v>80</v>
      </c>
      <c r="C40" s="5">
        <f t="shared" si="4"/>
        <v>7.8999999999999622E-4</v>
      </c>
      <c r="D40">
        <v>0.92520000000000002</v>
      </c>
      <c r="E40" s="1">
        <f t="shared" si="3"/>
        <v>0.39722222222222225</v>
      </c>
    </row>
    <row r="41" spans="1:5" x14ac:dyDescent="0.3">
      <c r="A41" t="s">
        <v>56</v>
      </c>
      <c r="B41">
        <v>80</v>
      </c>
      <c r="C41" s="5">
        <f t="shared" si="4"/>
        <v>1.0249999999999871E-3</v>
      </c>
      <c r="D41">
        <v>2.7086000000000001</v>
      </c>
      <c r="E41" s="1">
        <f t="shared" si="3"/>
        <v>0.3979166666666667</v>
      </c>
    </row>
    <row r="42" spans="1:5" x14ac:dyDescent="0.3">
      <c r="A42" t="s">
        <v>57</v>
      </c>
      <c r="B42">
        <v>80</v>
      </c>
      <c r="C42" s="5">
        <f t="shared" si="4"/>
        <v>1.4299999999999979E-3</v>
      </c>
      <c r="D42">
        <v>1.8179000000000001</v>
      </c>
      <c r="E42" s="1">
        <f t="shared" si="3"/>
        <v>0.40000000000000008</v>
      </c>
    </row>
    <row r="43" spans="1:5" x14ac:dyDescent="0.3">
      <c r="A43" t="s">
        <v>58</v>
      </c>
      <c r="B43">
        <v>80</v>
      </c>
      <c r="C43" s="5">
        <f t="shared" si="4"/>
        <v>1.4750000000000041E-3</v>
      </c>
      <c r="D43">
        <v>3.0095000000000001</v>
      </c>
      <c r="E43" s="1">
        <f t="shared" si="3"/>
        <v>0.40069444444444452</v>
      </c>
    </row>
    <row r="44" spans="1:5" x14ac:dyDescent="0.3">
      <c r="A44" t="s">
        <v>52</v>
      </c>
      <c r="B44">
        <v>100</v>
      </c>
      <c r="C44" s="5">
        <f t="shared" si="4"/>
        <v>9.3499999999999692E-4</v>
      </c>
      <c r="D44">
        <v>1.3219000000000001</v>
      </c>
      <c r="E44" s="1">
        <f t="shared" si="3"/>
        <v>0.40763888888888894</v>
      </c>
    </row>
    <row r="45" spans="1:5" x14ac:dyDescent="0.3">
      <c r="A45" t="s">
        <v>53</v>
      </c>
      <c r="B45">
        <v>100</v>
      </c>
      <c r="C45" s="5">
        <f t="shared" si="4"/>
        <v>4.5499999999999431E-4</v>
      </c>
      <c r="D45">
        <v>1.1144000000000001</v>
      </c>
      <c r="E45" s="1">
        <f t="shared" si="3"/>
        <v>0.40902777777777782</v>
      </c>
    </row>
    <row r="46" spans="1:5" x14ac:dyDescent="0.3">
      <c r="A46" t="s">
        <v>54</v>
      </c>
      <c r="B46">
        <v>100</v>
      </c>
      <c r="C46" s="5">
        <f t="shared" si="4"/>
        <v>1.3249999999999985E-3</v>
      </c>
      <c r="D46">
        <v>3.1059000000000001</v>
      </c>
      <c r="E46" s="1">
        <f t="shared" si="3"/>
        <v>0.40972222222222227</v>
      </c>
    </row>
    <row r="47" spans="1:5" x14ac:dyDescent="0.3">
      <c r="A47" t="s">
        <v>55</v>
      </c>
      <c r="B47">
        <v>100</v>
      </c>
      <c r="C47" s="5">
        <f t="shared" si="4"/>
        <v>7.8500000000000238E-4</v>
      </c>
      <c r="D47">
        <v>0.90949999999999998</v>
      </c>
      <c r="E47" s="1">
        <f t="shared" si="3"/>
        <v>0.41111111111111115</v>
      </c>
    </row>
    <row r="48" spans="1:5" x14ac:dyDescent="0.3">
      <c r="A48" t="s">
        <v>56</v>
      </c>
      <c r="B48">
        <v>100</v>
      </c>
      <c r="C48" s="5">
        <f t="shared" si="4"/>
        <v>1.0050000000000115E-3</v>
      </c>
      <c r="D48">
        <v>2.6884999999999999</v>
      </c>
      <c r="E48" s="1">
        <f t="shared" si="3"/>
        <v>0.41180555555555559</v>
      </c>
    </row>
    <row r="49" spans="1:5" x14ac:dyDescent="0.3">
      <c r="A49" t="s">
        <v>57</v>
      </c>
      <c r="B49">
        <v>100</v>
      </c>
      <c r="C49" s="5">
        <f t="shared" si="4"/>
        <v>1.1950000000000016E-3</v>
      </c>
      <c r="D49">
        <v>1.794</v>
      </c>
      <c r="E49" s="1">
        <f t="shared" si="3"/>
        <v>0.41388888888888897</v>
      </c>
    </row>
    <row r="50" spans="1:5" x14ac:dyDescent="0.3">
      <c r="A50" t="s">
        <v>58</v>
      </c>
      <c r="B50">
        <v>100</v>
      </c>
      <c r="C50" s="5">
        <f t="shared" si="4"/>
        <v>1.605000000000012E-3</v>
      </c>
      <c r="D50">
        <v>2.9773999999999998</v>
      </c>
      <c r="E50" s="1">
        <f t="shared" si="3"/>
        <v>0.41458333333333341</v>
      </c>
    </row>
    <row r="51" spans="1:5" x14ac:dyDescent="0.3">
      <c r="A51" t="s">
        <v>52</v>
      </c>
      <c r="B51">
        <v>120</v>
      </c>
      <c r="C51" s="5">
        <f t="shared" si="4"/>
        <v>9.3000000000000862E-4</v>
      </c>
      <c r="D51">
        <v>1.3032999999999999</v>
      </c>
      <c r="E51" s="1">
        <f t="shared" si="3"/>
        <v>0.42152777777777783</v>
      </c>
    </row>
    <row r="52" spans="1:5" x14ac:dyDescent="0.3">
      <c r="A52" t="s">
        <v>53</v>
      </c>
      <c r="B52">
        <v>120</v>
      </c>
      <c r="C52" s="5">
        <f t="shared" si="4"/>
        <v>4.4000000000000706E-4</v>
      </c>
      <c r="D52">
        <v>1.1055999999999999</v>
      </c>
      <c r="E52" s="1">
        <f t="shared" si="3"/>
        <v>0.42291666666666672</v>
      </c>
    </row>
    <row r="53" spans="1:5" x14ac:dyDescent="0.3">
      <c r="A53" t="s">
        <v>54</v>
      </c>
      <c r="B53">
        <v>120</v>
      </c>
      <c r="C53" s="5">
        <f t="shared" si="4"/>
        <v>1.2599999999999944E-3</v>
      </c>
      <c r="D53">
        <v>3.0807000000000002</v>
      </c>
      <c r="E53" s="1">
        <f t="shared" si="3"/>
        <v>0.42361111111111116</v>
      </c>
    </row>
    <row r="54" spans="1:5" x14ac:dyDescent="0.3">
      <c r="A54" t="s">
        <v>55</v>
      </c>
      <c r="B54">
        <v>120</v>
      </c>
      <c r="C54" s="5">
        <f t="shared" si="4"/>
        <v>7.9500000000000122E-4</v>
      </c>
      <c r="D54">
        <v>0.89359999999999995</v>
      </c>
      <c r="E54" s="1">
        <f t="shared" si="3"/>
        <v>0.42500000000000004</v>
      </c>
    </row>
    <row r="55" spans="1:5" x14ac:dyDescent="0.3">
      <c r="A55" t="s">
        <v>56</v>
      </c>
      <c r="B55">
        <v>120</v>
      </c>
      <c r="C55" s="5">
        <f t="shared" si="4"/>
        <v>9.7000000000000417E-4</v>
      </c>
      <c r="D55">
        <v>2.6690999999999998</v>
      </c>
      <c r="E55" s="1">
        <f t="shared" si="3"/>
        <v>0.42569444444444449</v>
      </c>
    </row>
    <row r="56" spans="1:5" x14ac:dyDescent="0.3">
      <c r="A56" t="s">
        <v>57</v>
      </c>
      <c r="B56">
        <v>120</v>
      </c>
      <c r="C56" s="5">
        <f t="shared" si="4"/>
        <v>1.055000000000006E-3</v>
      </c>
      <c r="D56">
        <v>1.7728999999999999</v>
      </c>
      <c r="E56" s="1">
        <f t="shared" si="3"/>
        <v>0.42777777777777787</v>
      </c>
    </row>
    <row r="57" spans="1:5" x14ac:dyDescent="0.3">
      <c r="A57" t="s">
        <v>58</v>
      </c>
      <c r="B57">
        <v>120</v>
      </c>
      <c r="C57" s="5">
        <f t="shared" si="4"/>
        <v>1.6249999999999876E-3</v>
      </c>
      <c r="D57">
        <v>2.9449000000000001</v>
      </c>
      <c r="E57" s="1">
        <f t="shared" si="3"/>
        <v>0.42847222222222231</v>
      </c>
    </row>
    <row r="58" spans="1:5" x14ac:dyDescent="0.3">
      <c r="A58" t="s">
        <v>52</v>
      </c>
      <c r="B58">
        <v>140</v>
      </c>
      <c r="C58" s="5">
        <f t="shared" si="4"/>
        <v>8.4999999999999518E-4</v>
      </c>
      <c r="D58">
        <v>1.2863</v>
      </c>
      <c r="E58" s="1">
        <f t="shared" si="3"/>
        <v>0.43541666666666673</v>
      </c>
    </row>
    <row r="59" spans="1:5" x14ac:dyDescent="0.3">
      <c r="A59" t="s">
        <v>53</v>
      </c>
      <c r="B59">
        <v>140</v>
      </c>
      <c r="C59" s="5">
        <f t="shared" si="4"/>
        <v>4.2499999999999759E-4</v>
      </c>
      <c r="D59">
        <v>1.0971</v>
      </c>
      <c r="E59" s="1">
        <f t="shared" si="3"/>
        <v>0.43680555555555561</v>
      </c>
    </row>
    <row r="60" spans="1:5" x14ac:dyDescent="0.3">
      <c r="A60" t="s">
        <v>54</v>
      </c>
      <c r="B60">
        <v>140</v>
      </c>
      <c r="C60" s="5">
        <f t="shared" si="4"/>
        <v>1.1550000000000171E-3</v>
      </c>
      <c r="D60">
        <v>3.0575999999999999</v>
      </c>
      <c r="E60" s="1">
        <f t="shared" si="3"/>
        <v>0.43750000000000006</v>
      </c>
    </row>
    <row r="61" spans="1:5" x14ac:dyDescent="0.3">
      <c r="A61" t="s">
        <v>55</v>
      </c>
      <c r="B61">
        <v>140</v>
      </c>
      <c r="C61" s="5">
        <f t="shared" si="4"/>
        <v>6.2999999999999721E-4</v>
      </c>
      <c r="D61">
        <v>0.88100000000000001</v>
      </c>
      <c r="E61" s="1">
        <f t="shared" si="3"/>
        <v>0.43888888888888894</v>
      </c>
    </row>
    <row r="62" spans="1:5" x14ac:dyDescent="0.3">
      <c r="A62" t="s">
        <v>56</v>
      </c>
      <c r="B62">
        <v>140</v>
      </c>
      <c r="C62" s="5">
        <f t="shared" si="4"/>
        <v>8.1999999999999846E-4</v>
      </c>
      <c r="D62">
        <v>2.6526999999999998</v>
      </c>
      <c r="E62" s="1">
        <f t="shared" si="3"/>
        <v>0.43958333333333338</v>
      </c>
    </row>
    <row r="63" spans="1:5" x14ac:dyDescent="0.3">
      <c r="A63" t="s">
        <v>57</v>
      </c>
      <c r="B63">
        <v>140</v>
      </c>
      <c r="C63" s="5">
        <f t="shared" si="4"/>
        <v>1.0399999999999964E-3</v>
      </c>
      <c r="D63">
        <v>1.7521</v>
      </c>
      <c r="E63" s="1">
        <f t="shared" si="3"/>
        <v>0.44166666666666676</v>
      </c>
    </row>
    <row r="64" spans="1:5" x14ac:dyDescent="0.3">
      <c r="A64" t="s">
        <v>58</v>
      </c>
      <c r="B64">
        <v>140</v>
      </c>
      <c r="C64" s="5">
        <f t="shared" si="4"/>
        <v>1.1700000000000044E-3</v>
      </c>
      <c r="D64">
        <v>2.9215</v>
      </c>
      <c r="E64" s="1">
        <f t="shared" si="3"/>
        <v>0.4423611111111112</v>
      </c>
    </row>
    <row r="65" spans="1:5" x14ac:dyDescent="0.3">
      <c r="A65" t="s">
        <v>52</v>
      </c>
      <c r="B65">
        <v>160</v>
      </c>
      <c r="C65" s="5">
        <f t="shared" si="4"/>
        <v>7.8500000000000238E-4</v>
      </c>
      <c r="D65">
        <v>1.2706</v>
      </c>
      <c r="E65" s="1">
        <f t="shared" si="3"/>
        <v>0.44930555555555562</v>
      </c>
    </row>
    <row r="66" spans="1:5" x14ac:dyDescent="0.3">
      <c r="A66" t="s">
        <v>53</v>
      </c>
      <c r="B66">
        <v>160</v>
      </c>
      <c r="C66" s="5">
        <f t="shared" si="4"/>
        <v>4.3499999999999648E-4</v>
      </c>
      <c r="D66">
        <v>1.0884</v>
      </c>
      <c r="E66" s="1">
        <f t="shared" si="3"/>
        <v>0.45069444444444451</v>
      </c>
    </row>
    <row r="67" spans="1:5" x14ac:dyDescent="0.3">
      <c r="A67" t="s">
        <v>54</v>
      </c>
      <c r="B67">
        <v>160</v>
      </c>
      <c r="C67" s="5">
        <f t="shared" si="4"/>
        <v>1.0899999999999909E-3</v>
      </c>
      <c r="D67">
        <v>3.0358000000000001</v>
      </c>
      <c r="E67" s="1">
        <f t="shared" si="3"/>
        <v>0.45138888888888895</v>
      </c>
    </row>
    <row r="68" spans="1:5" x14ac:dyDescent="0.3">
      <c r="A68" t="s">
        <v>55</v>
      </c>
      <c r="B68">
        <v>160</v>
      </c>
      <c r="C68" s="5">
        <f t="shared" si="4"/>
        <v>7.450000000000012E-4</v>
      </c>
      <c r="D68">
        <v>0.86609999999999998</v>
      </c>
      <c r="E68" s="1">
        <f t="shared" si="3"/>
        <v>0.45277777777777783</v>
      </c>
    </row>
    <row r="69" spans="1:5" x14ac:dyDescent="0.3">
      <c r="A69" t="s">
        <v>56</v>
      </c>
      <c r="B69">
        <v>160</v>
      </c>
      <c r="C69" s="5">
        <f t="shared" si="4"/>
        <v>9.3499999999999692E-4</v>
      </c>
      <c r="D69">
        <v>2.6339999999999999</v>
      </c>
      <c r="E69" s="1">
        <f t="shared" si="3"/>
        <v>0.45347222222222228</v>
      </c>
    </row>
    <row r="70" spans="1:5" x14ac:dyDescent="0.3">
      <c r="A70" t="s">
        <v>57</v>
      </c>
      <c r="B70">
        <v>160</v>
      </c>
      <c r="C70" s="5">
        <f t="shared" si="4"/>
        <v>1.0549999999999947E-3</v>
      </c>
      <c r="D70">
        <v>1.7310000000000001</v>
      </c>
      <c r="E70" s="1">
        <f t="shared" si="3"/>
        <v>0.45555555555555566</v>
      </c>
    </row>
    <row r="71" spans="1:5" x14ac:dyDescent="0.3">
      <c r="A71" t="s">
        <v>58</v>
      </c>
      <c r="B71">
        <v>160</v>
      </c>
      <c r="C71" s="5">
        <f t="shared" si="4"/>
        <v>1.1149999999999992E-3</v>
      </c>
      <c r="D71">
        <v>2.8992</v>
      </c>
      <c r="E71" s="1">
        <f t="shared" si="3"/>
        <v>0.4562500000000001</v>
      </c>
    </row>
    <row r="72" spans="1:5" x14ac:dyDescent="0.3">
      <c r="A72" t="s">
        <v>52</v>
      </c>
      <c r="B72">
        <v>180</v>
      </c>
      <c r="C72" s="5">
        <f t="shared" si="4"/>
        <v>9.0000000000000084E-4</v>
      </c>
      <c r="D72">
        <v>1.2525999999999999</v>
      </c>
      <c r="E72" s="1">
        <f t="shared" si="3"/>
        <v>0.46319444444444452</v>
      </c>
    </row>
    <row r="73" spans="1:5" x14ac:dyDescent="0.3">
      <c r="A73" t="s">
        <v>53</v>
      </c>
      <c r="B73">
        <v>180</v>
      </c>
      <c r="C73" s="5">
        <f t="shared" si="4"/>
        <v>4.149999999999987E-4</v>
      </c>
      <c r="D73">
        <v>1.0801000000000001</v>
      </c>
      <c r="E73" s="1">
        <f t="shared" si="3"/>
        <v>0.4645833333333334</v>
      </c>
    </row>
    <row r="74" spans="1:5" x14ac:dyDescent="0.3">
      <c r="A74" t="s">
        <v>54</v>
      </c>
      <c r="B74">
        <v>180</v>
      </c>
      <c r="C74" s="5">
        <f t="shared" si="4"/>
        <v>9.6000000000000534E-4</v>
      </c>
      <c r="D74">
        <v>3.0165999999999999</v>
      </c>
      <c r="E74" s="1">
        <f t="shared" si="3"/>
        <v>0.46527777777777785</v>
      </c>
    </row>
    <row r="75" spans="1:5" x14ac:dyDescent="0.3">
      <c r="A75" t="s">
        <v>55</v>
      </c>
      <c r="B75">
        <v>180</v>
      </c>
      <c r="C75" s="5">
        <f t="shared" si="4"/>
        <v>6.849999999999967E-4</v>
      </c>
      <c r="D75">
        <v>0.85240000000000005</v>
      </c>
      <c r="E75" s="1">
        <f t="shared" si="3"/>
        <v>0.46666666666666673</v>
      </c>
    </row>
    <row r="76" spans="1:5" x14ac:dyDescent="0.3">
      <c r="A76" t="s">
        <v>56</v>
      </c>
      <c r="B76">
        <v>180</v>
      </c>
      <c r="C76" s="5">
        <f t="shared" si="4"/>
        <v>8.2999999999999741E-4</v>
      </c>
      <c r="D76">
        <v>2.6173999999999999</v>
      </c>
      <c r="E76" s="1">
        <f t="shared" si="3"/>
        <v>0.46736111111111117</v>
      </c>
    </row>
    <row r="77" spans="1:5" x14ac:dyDescent="0.3">
      <c r="A77" t="s">
        <v>57</v>
      </c>
      <c r="B77">
        <v>180</v>
      </c>
      <c r="C77" s="5">
        <f t="shared" si="4"/>
        <v>9.3000000000000862E-4</v>
      </c>
      <c r="D77">
        <v>1.7123999999999999</v>
      </c>
      <c r="E77" s="1">
        <f t="shared" si="3"/>
        <v>0.46944444444444455</v>
      </c>
    </row>
    <row r="78" spans="1:5" x14ac:dyDescent="0.3">
      <c r="A78" t="s">
        <v>58</v>
      </c>
      <c r="B78">
        <v>180</v>
      </c>
      <c r="C78" s="5">
        <f t="shared" si="4"/>
        <v>1.0199999999999988E-3</v>
      </c>
      <c r="D78">
        <v>2.8788</v>
      </c>
      <c r="E78" s="1">
        <f t="shared" si="3"/>
        <v>0.47013888888888899</v>
      </c>
    </row>
    <row r="79" spans="1:5" x14ac:dyDescent="0.3">
      <c r="A79" t="s">
        <v>52</v>
      </c>
      <c r="B79">
        <v>200</v>
      </c>
      <c r="C79" s="5">
        <f t="shared" si="4"/>
        <v>7.8499999999999122E-4</v>
      </c>
      <c r="D79">
        <v>1.2369000000000001</v>
      </c>
      <c r="E79" s="1">
        <f t="shared" si="3"/>
        <v>0.47708333333333341</v>
      </c>
    </row>
    <row r="80" spans="1:5" x14ac:dyDescent="0.3">
      <c r="A80" t="s">
        <v>53</v>
      </c>
      <c r="B80">
        <v>200</v>
      </c>
      <c r="C80" s="5">
        <f t="shared" si="4"/>
        <v>3.750000000000031E-4</v>
      </c>
      <c r="D80">
        <v>1.0726</v>
      </c>
      <c r="E80" s="1">
        <f t="shared" si="3"/>
        <v>0.4784722222222223</v>
      </c>
    </row>
    <row r="81" spans="1:5" x14ac:dyDescent="0.3">
      <c r="A81" t="s">
        <v>54</v>
      </c>
      <c r="B81">
        <v>200</v>
      </c>
      <c r="C81" s="5">
        <f t="shared" si="4"/>
        <v>9.2999999999998639E-4</v>
      </c>
      <c r="D81">
        <v>2.9980000000000002</v>
      </c>
      <c r="E81" s="1">
        <f t="shared" si="3"/>
        <v>0.47916666666666674</v>
      </c>
    </row>
    <row r="82" spans="1:5" x14ac:dyDescent="0.3">
      <c r="A82" t="s">
        <v>55</v>
      </c>
      <c r="B82">
        <v>200</v>
      </c>
      <c r="C82" s="5">
        <f t="shared" si="4"/>
        <v>7.1500000000000448E-4</v>
      </c>
      <c r="D82">
        <v>0.83809999999999996</v>
      </c>
      <c r="E82" s="1">
        <f t="shared" si="3"/>
        <v>0.48055555555555562</v>
      </c>
    </row>
    <row r="83" spans="1:5" x14ac:dyDescent="0.3">
      <c r="A83" t="s">
        <v>56</v>
      </c>
      <c r="B83">
        <v>200</v>
      </c>
      <c r="C83" s="5">
        <f t="shared" si="4"/>
        <v>8.4500000000000688E-4</v>
      </c>
      <c r="D83">
        <v>2.6004999999999998</v>
      </c>
      <c r="E83" s="1">
        <f t="shared" si="3"/>
        <v>0.48125000000000007</v>
      </c>
    </row>
    <row r="84" spans="1:5" x14ac:dyDescent="0.3">
      <c r="A84" t="s">
        <v>57</v>
      </c>
      <c r="B84">
        <v>200</v>
      </c>
      <c r="C84" s="5">
        <f t="shared" si="4"/>
        <v>9.5999999999999417E-4</v>
      </c>
      <c r="D84">
        <v>1.6932</v>
      </c>
      <c r="E84" s="1">
        <f t="shared" si="3"/>
        <v>0.48333333333333345</v>
      </c>
    </row>
    <row r="85" spans="1:5" x14ac:dyDescent="0.3">
      <c r="A85" t="s">
        <v>58</v>
      </c>
      <c r="B85">
        <v>200</v>
      </c>
      <c r="C85" s="5">
        <f t="shared" si="4"/>
        <v>1.0650000000000047E-3</v>
      </c>
      <c r="D85">
        <v>2.8574999999999999</v>
      </c>
      <c r="E85" s="1">
        <f t="shared" si="3"/>
        <v>0.48402777777777789</v>
      </c>
    </row>
    <row r="86" spans="1:5" x14ac:dyDescent="0.3">
      <c r="A86" t="s">
        <v>52</v>
      </c>
      <c r="B86">
        <v>220</v>
      </c>
      <c r="C86" s="5">
        <f t="shared" si="4"/>
        <v>7.9000000000000186E-4</v>
      </c>
      <c r="D86">
        <v>1.2211000000000001</v>
      </c>
      <c r="E86" s="1">
        <f t="shared" si="3"/>
        <v>0.49097222222222231</v>
      </c>
    </row>
    <row r="87" spans="1:5" x14ac:dyDescent="0.3">
      <c r="A87" t="s">
        <v>53</v>
      </c>
      <c r="B87">
        <v>220</v>
      </c>
      <c r="C87" s="5">
        <f t="shared" si="4"/>
        <v>4.5500000000000542E-4</v>
      </c>
      <c r="D87">
        <v>1.0634999999999999</v>
      </c>
      <c r="E87" s="1">
        <f t="shared" ref="E87:E120" si="5">E80+(20/1440)</f>
        <v>0.49236111111111119</v>
      </c>
    </row>
    <row r="88" spans="1:5" x14ac:dyDescent="0.3">
      <c r="A88" t="s">
        <v>54</v>
      </c>
      <c r="B88">
        <v>220</v>
      </c>
      <c r="C88" s="5">
        <f t="shared" ref="C88:C120" si="6">(D81-D88)/20</f>
        <v>9.8500000000001364E-4</v>
      </c>
      <c r="D88">
        <v>2.9782999999999999</v>
      </c>
      <c r="E88" s="1">
        <f t="shared" si="5"/>
        <v>0.49305555555555564</v>
      </c>
    </row>
    <row r="89" spans="1:5" x14ac:dyDescent="0.3">
      <c r="A89" t="s">
        <v>55</v>
      </c>
      <c r="B89">
        <v>220</v>
      </c>
      <c r="C89" s="5">
        <f t="shared" si="6"/>
        <v>6.4499999999999562E-4</v>
      </c>
      <c r="D89">
        <v>0.82520000000000004</v>
      </c>
      <c r="E89" s="1">
        <f t="shared" si="5"/>
        <v>0.49444444444444452</v>
      </c>
    </row>
    <row r="90" spans="1:5" x14ac:dyDescent="0.3">
      <c r="A90" t="s">
        <v>56</v>
      </c>
      <c r="B90">
        <v>220</v>
      </c>
      <c r="C90" s="5">
        <f t="shared" si="6"/>
        <v>7.4499999999999567E-4</v>
      </c>
      <c r="D90">
        <v>2.5855999999999999</v>
      </c>
      <c r="E90" s="1">
        <f t="shared" si="5"/>
        <v>0.49513888888888896</v>
      </c>
    </row>
    <row r="91" spans="1:5" x14ac:dyDescent="0.3">
      <c r="A91" t="s">
        <v>57</v>
      </c>
      <c r="B91">
        <v>220</v>
      </c>
      <c r="C91" s="5">
        <f t="shared" si="6"/>
        <v>1.0199999999999988E-3</v>
      </c>
      <c r="D91">
        <v>1.6728000000000001</v>
      </c>
      <c r="E91" s="1">
        <f t="shared" si="5"/>
        <v>0.49722222222222234</v>
      </c>
    </row>
    <row r="92" spans="1:5" x14ac:dyDescent="0.3">
      <c r="A92" t="s">
        <v>58</v>
      </c>
      <c r="B92">
        <v>220</v>
      </c>
      <c r="C92" s="5">
        <f t="shared" si="6"/>
        <v>1.0699999999999933E-3</v>
      </c>
      <c r="D92">
        <v>2.8361000000000001</v>
      </c>
      <c r="E92" s="1">
        <f t="shared" si="5"/>
        <v>0.49791666666666679</v>
      </c>
    </row>
    <row r="93" spans="1:5" x14ac:dyDescent="0.3">
      <c r="A93" t="s">
        <v>52</v>
      </c>
      <c r="B93">
        <v>240</v>
      </c>
      <c r="C93" s="5">
        <f t="shared" si="6"/>
        <v>8.0000000000000069E-4</v>
      </c>
      <c r="D93">
        <v>1.2051000000000001</v>
      </c>
      <c r="E93" s="1">
        <f t="shared" si="5"/>
        <v>0.5048611111111112</v>
      </c>
    </row>
    <row r="94" spans="1:5" x14ac:dyDescent="0.3">
      <c r="A94" t="s">
        <v>53</v>
      </c>
      <c r="B94">
        <v>240</v>
      </c>
      <c r="C94" s="5">
        <f t="shared" si="6"/>
        <v>3.9999999999998923E-4</v>
      </c>
      <c r="D94">
        <v>1.0555000000000001</v>
      </c>
      <c r="E94" s="1">
        <f t="shared" si="5"/>
        <v>0.50625000000000009</v>
      </c>
    </row>
    <row r="95" spans="1:5" x14ac:dyDescent="0.3">
      <c r="A95" t="s">
        <v>54</v>
      </c>
      <c r="B95">
        <v>240</v>
      </c>
      <c r="C95" s="5">
        <f t="shared" si="6"/>
        <v>9.9000000000000195E-4</v>
      </c>
      <c r="D95">
        <v>2.9584999999999999</v>
      </c>
      <c r="E95" s="1">
        <f t="shared" si="5"/>
        <v>0.50694444444444453</v>
      </c>
    </row>
    <row r="96" spans="1:5" x14ac:dyDescent="0.3">
      <c r="A96" t="s">
        <v>55</v>
      </c>
      <c r="B96">
        <v>240</v>
      </c>
      <c r="C96" s="5">
        <f t="shared" si="6"/>
        <v>6.7000000000000393E-4</v>
      </c>
      <c r="D96">
        <v>0.81179999999999997</v>
      </c>
      <c r="E96" s="1">
        <f t="shared" si="5"/>
        <v>0.50833333333333341</v>
      </c>
    </row>
    <row r="97" spans="1:5" x14ac:dyDescent="0.3">
      <c r="A97" t="s">
        <v>56</v>
      </c>
      <c r="B97">
        <v>240</v>
      </c>
      <c r="C97" s="5">
        <f t="shared" si="6"/>
        <v>7.5499999999999461E-4</v>
      </c>
      <c r="D97">
        <v>2.5705</v>
      </c>
      <c r="E97" s="1">
        <f t="shared" si="5"/>
        <v>0.50902777777777786</v>
      </c>
    </row>
    <row r="98" spans="1:5" x14ac:dyDescent="0.3">
      <c r="A98" t="s">
        <v>57</v>
      </c>
      <c r="B98">
        <v>240</v>
      </c>
      <c r="C98" s="5">
        <f t="shared" si="6"/>
        <v>8.8000000000000296E-4</v>
      </c>
      <c r="D98">
        <v>1.6552</v>
      </c>
      <c r="E98" s="1">
        <f t="shared" si="5"/>
        <v>0.51111111111111118</v>
      </c>
    </row>
    <row r="99" spans="1:5" x14ac:dyDescent="0.3">
      <c r="A99" t="s">
        <v>58</v>
      </c>
      <c r="B99">
        <v>240</v>
      </c>
      <c r="C99" s="5">
        <f t="shared" si="6"/>
        <v>9.1499999999999915E-4</v>
      </c>
      <c r="D99">
        <v>2.8178000000000001</v>
      </c>
      <c r="E99" s="1">
        <f t="shared" si="5"/>
        <v>0.51180555555555562</v>
      </c>
    </row>
    <row r="100" spans="1:5" x14ac:dyDescent="0.3">
      <c r="A100" t="s">
        <v>52</v>
      </c>
      <c r="B100">
        <v>260</v>
      </c>
      <c r="C100" s="5">
        <f t="shared" si="6"/>
        <v>8.0999999999999963E-4</v>
      </c>
      <c r="D100">
        <v>1.1889000000000001</v>
      </c>
      <c r="E100" s="1">
        <f t="shared" si="5"/>
        <v>0.51875000000000004</v>
      </c>
    </row>
    <row r="101" spans="1:5" x14ac:dyDescent="0.3">
      <c r="A101" t="s">
        <v>53</v>
      </c>
      <c r="B101">
        <v>260</v>
      </c>
      <c r="C101" s="5">
        <f t="shared" si="6"/>
        <v>3.8000000000000257E-4</v>
      </c>
      <c r="D101">
        <v>1.0479000000000001</v>
      </c>
      <c r="E101" s="1">
        <f t="shared" si="5"/>
        <v>0.52013888888888893</v>
      </c>
    </row>
    <row r="102" spans="1:5" x14ac:dyDescent="0.3">
      <c r="A102" t="s">
        <v>54</v>
      </c>
      <c r="B102">
        <v>260</v>
      </c>
      <c r="C102" s="5">
        <f t="shared" si="6"/>
        <v>9.4499999999999587E-4</v>
      </c>
      <c r="D102">
        <v>2.9396</v>
      </c>
      <c r="E102" s="1">
        <f t="shared" si="5"/>
        <v>0.52083333333333337</v>
      </c>
    </row>
    <row r="103" spans="1:5" x14ac:dyDescent="0.3">
      <c r="A103" t="s">
        <v>55</v>
      </c>
      <c r="B103">
        <v>260</v>
      </c>
      <c r="C103" s="5">
        <f t="shared" si="6"/>
        <v>5.7999999999999718E-4</v>
      </c>
      <c r="D103">
        <v>0.80020000000000002</v>
      </c>
      <c r="E103" s="1">
        <f t="shared" si="5"/>
        <v>0.52222222222222225</v>
      </c>
    </row>
    <row r="104" spans="1:5" x14ac:dyDescent="0.3">
      <c r="A104" t="s">
        <v>56</v>
      </c>
      <c r="B104">
        <v>260</v>
      </c>
      <c r="C104" s="5">
        <f t="shared" si="6"/>
        <v>6.3500000000000774E-4</v>
      </c>
      <c r="D104">
        <v>2.5577999999999999</v>
      </c>
      <c r="E104" s="1">
        <f t="shared" si="5"/>
        <v>0.5229166666666667</v>
      </c>
    </row>
    <row r="105" spans="1:5" x14ac:dyDescent="0.3">
      <c r="A105" t="s">
        <v>57</v>
      </c>
      <c r="B105">
        <v>260</v>
      </c>
      <c r="C105" s="5">
        <f t="shared" si="6"/>
        <v>1.0099999999999998E-3</v>
      </c>
      <c r="D105">
        <v>1.635</v>
      </c>
      <c r="E105" s="1">
        <f t="shared" si="5"/>
        <v>0.52500000000000002</v>
      </c>
    </row>
    <row r="106" spans="1:5" x14ac:dyDescent="0.3">
      <c r="A106" t="s">
        <v>58</v>
      </c>
      <c r="B106">
        <v>260</v>
      </c>
      <c r="C106" s="5">
        <f t="shared" si="6"/>
        <v>9.7000000000000417E-4</v>
      </c>
      <c r="D106">
        <v>2.7984</v>
      </c>
      <c r="E106" s="1">
        <f t="shared" si="5"/>
        <v>0.52569444444444446</v>
      </c>
    </row>
    <row r="107" spans="1:5" x14ac:dyDescent="0.3">
      <c r="A107" t="s">
        <v>52</v>
      </c>
      <c r="B107">
        <v>280</v>
      </c>
      <c r="C107" s="5">
        <f t="shared" si="6"/>
        <v>7.8500000000000238E-4</v>
      </c>
      <c r="D107">
        <v>1.1732</v>
      </c>
      <c r="E107" s="1">
        <f t="shared" si="5"/>
        <v>0.53263888888888888</v>
      </c>
    </row>
    <row r="108" spans="1:5" x14ac:dyDescent="0.3">
      <c r="A108" t="s">
        <v>53</v>
      </c>
      <c r="B108">
        <v>280</v>
      </c>
      <c r="C108" s="5">
        <f t="shared" si="6"/>
        <v>3.6000000000000474E-4</v>
      </c>
      <c r="D108">
        <v>1.0407</v>
      </c>
      <c r="E108" s="1">
        <f t="shared" si="5"/>
        <v>0.53402777777777777</v>
      </c>
    </row>
    <row r="109" spans="1:5" x14ac:dyDescent="0.3">
      <c r="A109" t="s">
        <v>54</v>
      </c>
      <c r="B109">
        <v>280</v>
      </c>
      <c r="C109" s="5">
        <f t="shared" si="6"/>
        <v>8.2999999999999741E-4</v>
      </c>
      <c r="D109">
        <v>2.923</v>
      </c>
      <c r="E109" s="1">
        <f t="shared" si="5"/>
        <v>0.53472222222222221</v>
      </c>
    </row>
    <row r="110" spans="1:5" x14ac:dyDescent="0.3">
      <c r="A110" t="s">
        <v>55</v>
      </c>
      <c r="B110">
        <v>280</v>
      </c>
      <c r="C110" s="5">
        <f t="shared" si="6"/>
        <v>6.2500000000000337E-4</v>
      </c>
      <c r="D110">
        <v>0.78769999999999996</v>
      </c>
      <c r="E110" s="1">
        <f t="shared" si="5"/>
        <v>0.53611111111111109</v>
      </c>
    </row>
    <row r="111" spans="1:5" x14ac:dyDescent="0.3">
      <c r="A111" t="s">
        <v>56</v>
      </c>
      <c r="B111">
        <v>280</v>
      </c>
      <c r="C111" s="5">
        <f t="shared" si="6"/>
        <v>7.4999999999998397E-4</v>
      </c>
      <c r="D111">
        <v>2.5428000000000002</v>
      </c>
      <c r="E111" s="1">
        <f t="shared" si="5"/>
        <v>0.53680555555555554</v>
      </c>
    </row>
    <row r="112" spans="1:5" x14ac:dyDescent="0.3">
      <c r="A112" t="s">
        <v>57</v>
      </c>
      <c r="B112">
        <v>280</v>
      </c>
      <c r="C112" s="5">
        <f t="shared" si="6"/>
        <v>9.80000000000003E-4</v>
      </c>
      <c r="D112">
        <v>1.6153999999999999</v>
      </c>
      <c r="E112" s="1">
        <f t="shared" si="5"/>
        <v>0.53888888888888886</v>
      </c>
    </row>
    <row r="113" spans="1:5" x14ac:dyDescent="0.3">
      <c r="A113" t="s">
        <v>58</v>
      </c>
      <c r="B113">
        <v>280</v>
      </c>
      <c r="C113" s="5">
        <f t="shared" si="6"/>
        <v>1.1349999999999971E-3</v>
      </c>
      <c r="D113">
        <v>2.7757000000000001</v>
      </c>
      <c r="E113" s="1">
        <f t="shared" si="5"/>
        <v>0.5395833333333333</v>
      </c>
    </row>
    <row r="114" spans="1:5" x14ac:dyDescent="0.3">
      <c r="A114" t="s">
        <v>52</v>
      </c>
      <c r="B114">
        <v>300</v>
      </c>
      <c r="C114" s="5">
        <f t="shared" si="6"/>
        <v>7.3999999999999619E-4</v>
      </c>
      <c r="D114">
        <v>1.1584000000000001</v>
      </c>
      <c r="E114" s="1">
        <f t="shared" si="5"/>
        <v>0.54652777777777772</v>
      </c>
    </row>
    <row r="115" spans="1:5" x14ac:dyDescent="0.3">
      <c r="A115" t="s">
        <v>53</v>
      </c>
      <c r="B115">
        <v>300</v>
      </c>
      <c r="C115" s="5">
        <f t="shared" si="6"/>
        <v>3.9500000000000093E-4</v>
      </c>
      <c r="D115">
        <v>1.0327999999999999</v>
      </c>
      <c r="E115" s="1">
        <f t="shared" si="5"/>
        <v>0.54791666666666661</v>
      </c>
    </row>
    <row r="116" spans="1:5" x14ac:dyDescent="0.3">
      <c r="A116" t="s">
        <v>54</v>
      </c>
      <c r="B116">
        <v>300</v>
      </c>
      <c r="C116" s="5">
        <f t="shared" si="6"/>
        <v>9.2499999999999809E-4</v>
      </c>
      <c r="D116">
        <v>2.9045000000000001</v>
      </c>
      <c r="E116" s="1">
        <f t="shared" si="5"/>
        <v>0.54861111111111105</v>
      </c>
    </row>
    <row r="117" spans="1:5" x14ac:dyDescent="0.3">
      <c r="A117" t="s">
        <v>55</v>
      </c>
      <c r="B117">
        <v>300</v>
      </c>
      <c r="C117" s="5">
        <f t="shared" si="6"/>
        <v>6.0999999999999943E-4</v>
      </c>
      <c r="D117">
        <v>0.77549999999999997</v>
      </c>
      <c r="E117" s="1">
        <f t="shared" si="5"/>
        <v>0.54999999999999993</v>
      </c>
    </row>
    <row r="118" spans="1:5" x14ac:dyDescent="0.3">
      <c r="A118" t="s">
        <v>56</v>
      </c>
      <c r="B118">
        <v>300</v>
      </c>
      <c r="C118" s="5">
        <f t="shared" si="6"/>
        <v>7.4500000000001789E-4</v>
      </c>
      <c r="D118">
        <v>2.5278999999999998</v>
      </c>
      <c r="E118" s="1">
        <f t="shared" si="5"/>
        <v>0.55069444444444438</v>
      </c>
    </row>
    <row r="119" spans="1:5" x14ac:dyDescent="0.3">
      <c r="A119" t="s">
        <v>57</v>
      </c>
      <c r="B119">
        <v>300</v>
      </c>
      <c r="C119" s="5">
        <f t="shared" si="6"/>
        <v>9.6499999999999364E-4</v>
      </c>
      <c r="D119">
        <v>1.5961000000000001</v>
      </c>
      <c r="E119" s="1">
        <f t="shared" si="5"/>
        <v>0.5527777777777777</v>
      </c>
    </row>
    <row r="120" spans="1:5" x14ac:dyDescent="0.3">
      <c r="A120" t="s">
        <v>58</v>
      </c>
      <c r="B120">
        <v>300</v>
      </c>
      <c r="C120" s="5">
        <f t="shared" si="6"/>
        <v>8.3500000000000794E-4</v>
      </c>
      <c r="D120">
        <v>2.7589999999999999</v>
      </c>
      <c r="E120" s="1">
        <f t="shared" si="5"/>
        <v>0.55347222222222214</v>
      </c>
    </row>
    <row r="121" spans="1:5" x14ac:dyDescent="0.3">
      <c r="E1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764E-FB0F-4A27-B155-310C9060FF7A}">
  <dimension ref="A1:G64"/>
  <sheetViews>
    <sheetView topLeftCell="A41" workbookViewId="0">
      <selection activeCell="B65" sqref="B65"/>
    </sheetView>
  </sheetViews>
  <sheetFormatPr baseColWidth="10" defaultRowHeight="14.4" x14ac:dyDescent="0.3"/>
  <cols>
    <col min="4" max="4" width="14" customWidth="1"/>
    <col min="6" max="6" width="14" customWidth="1"/>
  </cols>
  <sheetData>
    <row r="1" spans="1:7" x14ac:dyDescent="0.3">
      <c r="A1" s="6" t="s">
        <v>0</v>
      </c>
      <c r="B1" s="6" t="s">
        <v>39</v>
      </c>
      <c r="C1" s="6" t="s">
        <v>34</v>
      </c>
      <c r="D1" s="6" t="s">
        <v>37</v>
      </c>
      <c r="E1" s="6" t="s">
        <v>48</v>
      </c>
      <c r="F1" s="6" t="s">
        <v>40</v>
      </c>
      <c r="G1" s="6"/>
    </row>
    <row r="2" spans="1:7" x14ac:dyDescent="0.3">
      <c r="A2" s="10" t="s">
        <v>1</v>
      </c>
      <c r="B2">
        <v>1.2369000000000001</v>
      </c>
      <c r="C2">
        <v>143.21799999999999</v>
      </c>
      <c r="D2">
        <v>3.2614999999999998</v>
      </c>
      <c r="E2" t="s">
        <v>38</v>
      </c>
      <c r="F2" t="s">
        <v>41</v>
      </c>
    </row>
    <row r="3" spans="1:7" x14ac:dyDescent="0.3">
      <c r="A3" s="10" t="s">
        <v>4</v>
      </c>
      <c r="B3">
        <v>1.2658</v>
      </c>
      <c r="C3">
        <v>140.596</v>
      </c>
      <c r="D3">
        <v>2.7126999999999999</v>
      </c>
      <c r="E3" t="s">
        <v>38</v>
      </c>
      <c r="F3" t="s">
        <v>42</v>
      </c>
    </row>
    <row r="4" spans="1:7" x14ac:dyDescent="0.3">
      <c r="A4" s="10" t="s">
        <v>6</v>
      </c>
      <c r="B4">
        <v>1.3984000000000001</v>
      </c>
      <c r="C4">
        <v>136.84200000000001</v>
      </c>
      <c r="D4">
        <v>3.0196000000000001</v>
      </c>
      <c r="E4" t="s">
        <v>38</v>
      </c>
      <c r="F4" t="s">
        <v>43</v>
      </c>
    </row>
    <row r="5" spans="1:7" x14ac:dyDescent="0.3">
      <c r="A5" s="10" t="s">
        <v>3</v>
      </c>
      <c r="B5">
        <v>1.1839999999999999</v>
      </c>
      <c r="C5">
        <v>122.938</v>
      </c>
      <c r="D5">
        <v>2.6469999999999998</v>
      </c>
      <c r="E5" t="s">
        <v>38</v>
      </c>
      <c r="F5" t="s">
        <v>44</v>
      </c>
    </row>
    <row r="6" spans="1:7" x14ac:dyDescent="0.3">
      <c r="A6" s="10" t="s">
        <v>7</v>
      </c>
      <c r="B6">
        <v>1.2102999999999999</v>
      </c>
      <c r="C6">
        <v>109.562</v>
      </c>
      <c r="D6">
        <v>2.2422</v>
      </c>
      <c r="E6" t="s">
        <v>38</v>
      </c>
      <c r="F6" t="s">
        <v>45</v>
      </c>
    </row>
    <row r="7" spans="1:7" x14ac:dyDescent="0.3">
      <c r="A7" s="10" t="s">
        <v>5</v>
      </c>
      <c r="B7">
        <v>1.4692000000000001</v>
      </c>
      <c r="C7">
        <v>137.68600000000001</v>
      </c>
      <c r="D7">
        <v>2.9436</v>
      </c>
      <c r="E7" t="s">
        <v>38</v>
      </c>
      <c r="F7" t="s">
        <v>46</v>
      </c>
    </row>
    <row r="8" spans="1:7" x14ac:dyDescent="0.3">
      <c r="A8" s="10" t="s">
        <v>35</v>
      </c>
      <c r="B8">
        <v>1.2744</v>
      </c>
      <c r="C8">
        <v>113.53400000000001</v>
      </c>
      <c r="D8">
        <v>2.6625999999999999</v>
      </c>
      <c r="E8" t="s">
        <v>38</v>
      </c>
      <c r="F8" t="s">
        <v>47</v>
      </c>
    </row>
    <row r="9" spans="1:7" x14ac:dyDescent="0.3">
      <c r="A9" s="10" t="s">
        <v>13</v>
      </c>
      <c r="B9">
        <v>1.9770000000000001</v>
      </c>
      <c r="C9">
        <v>219.22800000000001</v>
      </c>
      <c r="D9">
        <v>4.7855999999999996</v>
      </c>
      <c r="E9" t="s">
        <v>38</v>
      </c>
      <c r="F9" t="s">
        <v>41</v>
      </c>
    </row>
    <row r="10" spans="1:7" x14ac:dyDescent="0.3">
      <c r="A10" t="s">
        <v>14</v>
      </c>
      <c r="B10">
        <v>1.5947</v>
      </c>
      <c r="C10">
        <v>106.34699999999999</v>
      </c>
      <c r="D10">
        <v>3.2509000000000001</v>
      </c>
      <c r="E10" t="s">
        <v>38</v>
      </c>
      <c r="F10" t="s">
        <v>47</v>
      </c>
    </row>
    <row r="11" spans="1:7" x14ac:dyDescent="0.3">
      <c r="A11" t="s">
        <v>15</v>
      </c>
      <c r="B11">
        <v>1.2701</v>
      </c>
      <c r="C11">
        <v>131.625</v>
      </c>
      <c r="D11">
        <v>2.6770999999999998</v>
      </c>
      <c r="E11" t="s">
        <v>38</v>
      </c>
      <c r="F11" t="s">
        <v>42</v>
      </c>
    </row>
    <row r="12" spans="1:7" x14ac:dyDescent="0.3">
      <c r="A12" s="10" t="s">
        <v>16</v>
      </c>
      <c r="B12">
        <v>1.175</v>
      </c>
      <c r="C12">
        <v>132.06100000000001</v>
      </c>
      <c r="D12">
        <v>2.4493999999999998</v>
      </c>
      <c r="E12" t="s">
        <v>38</v>
      </c>
      <c r="F12" t="s">
        <v>46</v>
      </c>
    </row>
    <row r="13" spans="1:7" x14ac:dyDescent="0.3">
      <c r="A13" t="s">
        <v>17</v>
      </c>
      <c r="B13">
        <v>1.8380000000000001</v>
      </c>
      <c r="C13">
        <v>179.06800000000001</v>
      </c>
      <c r="D13">
        <v>3.6856</v>
      </c>
      <c r="E13" t="s">
        <v>38</v>
      </c>
      <c r="F13" t="s">
        <v>43</v>
      </c>
    </row>
    <row r="14" spans="1:7" x14ac:dyDescent="0.3">
      <c r="A14" t="s">
        <v>12</v>
      </c>
      <c r="B14">
        <v>1.0281</v>
      </c>
      <c r="C14">
        <v>121.738</v>
      </c>
      <c r="D14">
        <v>2.8062</v>
      </c>
      <c r="E14" t="s">
        <v>38</v>
      </c>
      <c r="F14" t="s">
        <v>44</v>
      </c>
    </row>
    <row r="15" spans="1:7" x14ac:dyDescent="0.3">
      <c r="A15" t="s">
        <v>18</v>
      </c>
      <c r="B15">
        <v>1.6167</v>
      </c>
      <c r="C15">
        <v>141.012</v>
      </c>
      <c r="D15">
        <v>3.0478999999999998</v>
      </c>
      <c r="E15" t="s">
        <v>38</v>
      </c>
      <c r="F15" t="s">
        <v>45</v>
      </c>
    </row>
    <row r="16" spans="1:7" x14ac:dyDescent="0.3">
      <c r="A16" t="s">
        <v>33</v>
      </c>
      <c r="B16">
        <v>1.2428999999999999</v>
      </c>
      <c r="C16">
        <v>124.74299999999999</v>
      </c>
      <c r="D16">
        <v>2.4735999999999998</v>
      </c>
      <c r="E16" t="s">
        <v>38</v>
      </c>
      <c r="F16" t="s">
        <v>43</v>
      </c>
    </row>
    <row r="17" spans="1:6" x14ac:dyDescent="0.3">
      <c r="A17" t="s">
        <v>27</v>
      </c>
      <c r="B17">
        <v>1.5828</v>
      </c>
      <c r="C17">
        <v>168.47</v>
      </c>
      <c r="D17">
        <v>3.2004999999999999</v>
      </c>
      <c r="E17" t="s">
        <v>38</v>
      </c>
      <c r="F17" t="s">
        <v>46</v>
      </c>
    </row>
    <row r="18" spans="1:6" x14ac:dyDescent="0.3">
      <c r="A18" t="s">
        <v>25</v>
      </c>
      <c r="B18">
        <v>1.2755000000000001</v>
      </c>
      <c r="C18">
        <v>147.733</v>
      </c>
      <c r="D18">
        <v>2.8588</v>
      </c>
      <c r="E18" t="s">
        <v>38</v>
      </c>
      <c r="F18" t="s">
        <v>42</v>
      </c>
    </row>
    <row r="19" spans="1:6" x14ac:dyDescent="0.3">
      <c r="A19" t="s">
        <v>29</v>
      </c>
      <c r="B19">
        <v>0.81920000000000004</v>
      </c>
      <c r="C19">
        <v>97.554000000000002</v>
      </c>
      <c r="D19">
        <v>2.1699000000000002</v>
      </c>
      <c r="E19" t="s">
        <v>38</v>
      </c>
      <c r="F19" t="s">
        <v>44</v>
      </c>
    </row>
    <row r="20" spans="1:6" x14ac:dyDescent="0.3">
      <c r="A20" t="s">
        <v>36</v>
      </c>
      <c r="B20">
        <v>1.6349</v>
      </c>
      <c r="C20">
        <v>166.24299999999999</v>
      </c>
      <c r="D20">
        <v>3.5049000000000001</v>
      </c>
      <c r="E20" t="s">
        <v>38</v>
      </c>
      <c r="F20" t="s">
        <v>47</v>
      </c>
    </row>
    <row r="21" spans="1:6" x14ac:dyDescent="0.3">
      <c r="A21" t="s">
        <v>28</v>
      </c>
      <c r="B21">
        <v>1.0637000000000001</v>
      </c>
      <c r="C21">
        <v>107.389</v>
      </c>
      <c r="D21">
        <v>2.6486000000000001</v>
      </c>
      <c r="E21" t="s">
        <v>38</v>
      </c>
      <c r="F21" t="s">
        <v>41</v>
      </c>
    </row>
    <row r="22" spans="1:6" x14ac:dyDescent="0.3">
      <c r="A22" t="s">
        <v>26</v>
      </c>
      <c r="B22">
        <v>1.2470000000000001</v>
      </c>
      <c r="C22">
        <v>134.535</v>
      </c>
      <c r="D22">
        <v>2.5392999999999999</v>
      </c>
      <c r="E22" t="s">
        <v>38</v>
      </c>
      <c r="F22" t="s">
        <v>45</v>
      </c>
    </row>
    <row r="23" spans="1:6" x14ac:dyDescent="0.3">
      <c r="A23" t="s">
        <v>57</v>
      </c>
      <c r="B23">
        <v>0.8095</v>
      </c>
      <c r="D23">
        <v>1.9417</v>
      </c>
      <c r="E23" t="s">
        <v>80</v>
      </c>
      <c r="F23" t="s">
        <v>44</v>
      </c>
    </row>
    <row r="24" spans="1:6" x14ac:dyDescent="0.3">
      <c r="A24" s="10" t="s">
        <v>58</v>
      </c>
      <c r="B24">
        <v>1.4441999999999999</v>
      </c>
      <c r="D24">
        <v>3.1341000000000001</v>
      </c>
      <c r="E24" t="s">
        <v>80</v>
      </c>
      <c r="F24" t="s">
        <v>47</v>
      </c>
    </row>
    <row r="25" spans="1:6" x14ac:dyDescent="0.3">
      <c r="A25" s="10" t="s">
        <v>56</v>
      </c>
      <c r="B25">
        <v>1.4200999999999999</v>
      </c>
      <c r="D25">
        <v>2.8109999999999999</v>
      </c>
      <c r="E25" t="s">
        <v>80</v>
      </c>
      <c r="F25" t="s">
        <v>46</v>
      </c>
    </row>
    <row r="26" spans="1:6" x14ac:dyDescent="0.3">
      <c r="A26" s="10" t="s">
        <v>53</v>
      </c>
      <c r="B26">
        <v>0.56389999999999996</v>
      </c>
      <c r="D26">
        <v>1.1678999999999999</v>
      </c>
      <c r="E26" t="s">
        <v>80</v>
      </c>
      <c r="F26" t="s">
        <v>42</v>
      </c>
    </row>
    <row r="27" spans="1:6" x14ac:dyDescent="0.3">
      <c r="A27" s="10" t="s">
        <v>52</v>
      </c>
      <c r="B27">
        <v>0.57020000000000004</v>
      </c>
      <c r="D27">
        <v>1.4294</v>
      </c>
      <c r="E27" t="s">
        <v>80</v>
      </c>
      <c r="F27" t="s">
        <v>41</v>
      </c>
    </row>
    <row r="28" spans="1:6" x14ac:dyDescent="0.3">
      <c r="A28" s="10" t="s">
        <v>55</v>
      </c>
      <c r="B28">
        <v>0.49299999999999999</v>
      </c>
      <c r="D28">
        <v>1.0081</v>
      </c>
      <c r="E28" t="s">
        <v>80</v>
      </c>
      <c r="F28" t="s">
        <v>45</v>
      </c>
    </row>
    <row r="29" spans="1:6" x14ac:dyDescent="0.3">
      <c r="A29" t="s">
        <v>54</v>
      </c>
      <c r="B29">
        <v>1.6091</v>
      </c>
      <c r="D29">
        <v>3.2578999999999998</v>
      </c>
      <c r="E29" t="s">
        <v>80</v>
      </c>
      <c r="F29" t="s">
        <v>43</v>
      </c>
    </row>
    <row r="30" spans="1:6" x14ac:dyDescent="0.3">
      <c r="A30" t="s">
        <v>67</v>
      </c>
      <c r="B30">
        <v>1.9153</v>
      </c>
      <c r="E30" t="s">
        <v>80</v>
      </c>
      <c r="F30" t="s">
        <v>46</v>
      </c>
    </row>
    <row r="31" spans="1:6" x14ac:dyDescent="0.3">
      <c r="A31" t="s">
        <v>66</v>
      </c>
      <c r="B31">
        <v>0.42449999999999999</v>
      </c>
      <c r="E31" t="s">
        <v>80</v>
      </c>
      <c r="F31" t="s">
        <v>45</v>
      </c>
    </row>
    <row r="32" spans="1:6" x14ac:dyDescent="0.3">
      <c r="A32" t="s">
        <v>65</v>
      </c>
      <c r="B32">
        <v>0.85189999999999999</v>
      </c>
      <c r="E32" t="s">
        <v>80</v>
      </c>
      <c r="F32" t="s">
        <v>42</v>
      </c>
    </row>
    <row r="33" spans="1:6" x14ac:dyDescent="0.3">
      <c r="A33" s="10" t="s">
        <v>64</v>
      </c>
      <c r="B33">
        <v>0.84840000000000004</v>
      </c>
      <c r="E33" t="s">
        <v>80</v>
      </c>
      <c r="F33" t="s">
        <v>41</v>
      </c>
    </row>
    <row r="34" spans="1:6" x14ac:dyDescent="0.3">
      <c r="A34" s="10" t="s">
        <v>63</v>
      </c>
      <c r="B34">
        <v>0.81140000000000001</v>
      </c>
      <c r="E34" t="s">
        <v>80</v>
      </c>
      <c r="F34" t="s">
        <v>44</v>
      </c>
    </row>
    <row r="35" spans="1:6" x14ac:dyDescent="0.3">
      <c r="A35" t="s">
        <v>62</v>
      </c>
      <c r="B35">
        <v>1.4074</v>
      </c>
      <c r="E35" t="s">
        <v>80</v>
      </c>
      <c r="F35" t="s">
        <v>43</v>
      </c>
    </row>
    <row r="36" spans="1:6" x14ac:dyDescent="0.3">
      <c r="A36" t="s">
        <v>68</v>
      </c>
      <c r="B36">
        <v>0.81089999999999995</v>
      </c>
      <c r="E36" t="s">
        <v>80</v>
      </c>
      <c r="F36" t="s">
        <v>47</v>
      </c>
    </row>
    <row r="37" spans="1:6" x14ac:dyDescent="0.3">
      <c r="A37" t="s">
        <v>74</v>
      </c>
      <c r="B37">
        <v>0.89300000000000002</v>
      </c>
      <c r="E37" t="s">
        <v>80</v>
      </c>
      <c r="F37" t="s">
        <v>47</v>
      </c>
    </row>
    <row r="38" spans="1:6" x14ac:dyDescent="0.3">
      <c r="A38" s="10" t="s">
        <v>77</v>
      </c>
      <c r="B38">
        <v>1.0992999999999999</v>
      </c>
      <c r="E38" t="s">
        <v>80</v>
      </c>
      <c r="F38" t="s">
        <v>46</v>
      </c>
    </row>
    <row r="39" spans="1:6" x14ac:dyDescent="0.3">
      <c r="A39" t="s">
        <v>72</v>
      </c>
      <c r="B39">
        <v>1.1339999999999999</v>
      </c>
      <c r="E39" t="s">
        <v>80</v>
      </c>
      <c r="F39" t="s">
        <v>41</v>
      </c>
    </row>
    <row r="40" spans="1:6" x14ac:dyDescent="0.3">
      <c r="A40" t="s">
        <v>76</v>
      </c>
      <c r="B40">
        <v>0.69850000000000001</v>
      </c>
      <c r="E40" t="s">
        <v>80</v>
      </c>
      <c r="F40" t="s">
        <v>42</v>
      </c>
    </row>
    <row r="41" spans="1:6" x14ac:dyDescent="0.3">
      <c r="A41" t="s">
        <v>79</v>
      </c>
      <c r="B41">
        <v>0.58730000000000004</v>
      </c>
      <c r="E41" t="s">
        <v>80</v>
      </c>
      <c r="F41" t="s">
        <v>44</v>
      </c>
    </row>
    <row r="42" spans="1:6" x14ac:dyDescent="0.3">
      <c r="A42" t="s">
        <v>78</v>
      </c>
      <c r="B42">
        <v>0.64300000000000002</v>
      </c>
      <c r="E42" t="s">
        <v>80</v>
      </c>
      <c r="F42" t="s">
        <v>45</v>
      </c>
    </row>
    <row r="43" spans="1:6" x14ac:dyDescent="0.3">
      <c r="A43" t="s">
        <v>71</v>
      </c>
      <c r="B43">
        <v>1.2903</v>
      </c>
      <c r="E43" t="s">
        <v>80</v>
      </c>
      <c r="F43" t="s">
        <v>47</v>
      </c>
    </row>
    <row r="44" spans="1:6" x14ac:dyDescent="0.3">
      <c r="A44" s="10" t="s">
        <v>75</v>
      </c>
      <c r="B44">
        <v>1.105</v>
      </c>
      <c r="E44" t="s">
        <v>80</v>
      </c>
      <c r="F44" t="s">
        <v>43</v>
      </c>
    </row>
    <row r="45" spans="1:6" x14ac:dyDescent="0.3">
      <c r="A45" t="s">
        <v>81</v>
      </c>
      <c r="B45">
        <v>1.3097000000000001</v>
      </c>
      <c r="E45" t="s">
        <v>38</v>
      </c>
      <c r="F45" t="s">
        <v>44</v>
      </c>
    </row>
    <row r="46" spans="1:6" x14ac:dyDescent="0.3">
      <c r="A46" t="s">
        <v>70</v>
      </c>
      <c r="B46">
        <v>1.0681</v>
      </c>
      <c r="E46" t="s">
        <v>38</v>
      </c>
      <c r="F46" t="s">
        <v>42</v>
      </c>
    </row>
    <row r="47" spans="1:6" x14ac:dyDescent="0.3">
      <c r="A47" t="s">
        <v>96</v>
      </c>
      <c r="B47">
        <v>0.75439999999999996</v>
      </c>
    </row>
    <row r="48" spans="1:6" x14ac:dyDescent="0.3">
      <c r="A48" t="s">
        <v>98</v>
      </c>
      <c r="B48">
        <v>0.90590000000000004</v>
      </c>
    </row>
    <row r="49" spans="1:2" x14ac:dyDescent="0.3">
      <c r="A49" t="s">
        <v>93</v>
      </c>
      <c r="B49">
        <v>0.40210000000000001</v>
      </c>
    </row>
    <row r="50" spans="1:2" x14ac:dyDescent="0.3">
      <c r="A50" t="s">
        <v>94</v>
      </c>
      <c r="B50">
        <v>1.5389999999999999</v>
      </c>
    </row>
    <row r="51" spans="1:2" x14ac:dyDescent="0.3">
      <c r="A51" t="s">
        <v>95</v>
      </c>
      <c r="B51">
        <v>0.67349999999999999</v>
      </c>
    </row>
    <row r="52" spans="1:2" x14ac:dyDescent="0.3">
      <c r="A52" t="s">
        <v>92</v>
      </c>
      <c r="B52">
        <v>0.66080000000000005</v>
      </c>
    </row>
    <row r="53" spans="1:2" x14ac:dyDescent="0.3">
      <c r="A53" t="s">
        <v>91</v>
      </c>
      <c r="B53">
        <v>0.7177</v>
      </c>
    </row>
    <row r="54" spans="1:2" x14ac:dyDescent="0.3">
      <c r="A54" t="s">
        <v>99</v>
      </c>
      <c r="B54">
        <v>1.5462</v>
      </c>
    </row>
    <row r="55" spans="1:2" x14ac:dyDescent="0.3">
      <c r="A55" t="s">
        <v>97</v>
      </c>
      <c r="B55">
        <v>1.2099</v>
      </c>
    </row>
    <row r="56" spans="1:2" x14ac:dyDescent="0.3">
      <c r="A56" t="s">
        <v>89</v>
      </c>
      <c r="B56">
        <v>0.91810000000000003</v>
      </c>
    </row>
    <row r="57" spans="1:2" x14ac:dyDescent="0.3">
      <c r="A57" t="s">
        <v>90</v>
      </c>
      <c r="B57">
        <v>1.6236999999999999</v>
      </c>
    </row>
    <row r="58" spans="1:2" x14ac:dyDescent="0.3">
      <c r="A58" t="s">
        <v>88</v>
      </c>
      <c r="B58">
        <v>1.2408999999999999</v>
      </c>
    </row>
    <row r="59" spans="1:2" x14ac:dyDescent="0.3">
      <c r="A59" t="s">
        <v>87</v>
      </c>
      <c r="B59">
        <v>0.81730000000000003</v>
      </c>
    </row>
    <row r="60" spans="1:2" x14ac:dyDescent="0.3">
      <c r="A60" t="s">
        <v>86</v>
      </c>
      <c r="B60">
        <v>0.58389999999999997</v>
      </c>
    </row>
    <row r="61" spans="1:2" x14ac:dyDescent="0.3">
      <c r="A61" t="s">
        <v>85</v>
      </c>
      <c r="B61">
        <v>0.92290000000000005</v>
      </c>
    </row>
    <row r="62" spans="1:2" x14ac:dyDescent="0.3">
      <c r="A62" t="s">
        <v>84</v>
      </c>
      <c r="B62">
        <v>1.0257000000000001</v>
      </c>
    </row>
    <row r="63" spans="1:2" x14ac:dyDescent="0.3">
      <c r="A63" t="s">
        <v>83</v>
      </c>
      <c r="B63">
        <v>0.52070000000000005</v>
      </c>
    </row>
    <row r="64" spans="1:2" x14ac:dyDescent="0.3">
      <c r="A64" t="s">
        <v>82</v>
      </c>
      <c r="B64">
        <v>0.60250000000000004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6E18-6CDD-4229-9877-D074BB6F5234}">
  <dimension ref="A1:I151"/>
  <sheetViews>
    <sheetView workbookViewId="0">
      <selection activeCell="D152" sqref="D152"/>
    </sheetView>
  </sheetViews>
  <sheetFormatPr baseColWidth="10" defaultRowHeight="14.4" x14ac:dyDescent="0.3"/>
  <cols>
    <col min="3" max="3" width="12.33203125" customWidth="1"/>
    <col min="5" max="5" width="15.21875" bestFit="1" customWidth="1"/>
  </cols>
  <sheetData>
    <row r="1" spans="1:9" x14ac:dyDescent="0.3">
      <c r="A1" t="s">
        <v>0</v>
      </c>
      <c r="B1" t="s">
        <v>21</v>
      </c>
      <c r="C1" t="s">
        <v>31</v>
      </c>
      <c r="D1" t="s">
        <v>11</v>
      </c>
      <c r="E1" t="s">
        <v>8</v>
      </c>
    </row>
    <row r="2" spans="1:9" x14ac:dyDescent="0.3">
      <c r="A2" t="s">
        <v>70</v>
      </c>
      <c r="C2" t="s">
        <v>60</v>
      </c>
      <c r="D2">
        <v>2.3275999999999999</v>
      </c>
      <c r="E2" s="1">
        <v>0.32291666666666669</v>
      </c>
    </row>
    <row r="3" spans="1:9" x14ac:dyDescent="0.3">
      <c r="A3" t="s">
        <v>71</v>
      </c>
      <c r="C3" t="s">
        <v>60</v>
      </c>
      <c r="D3">
        <v>3.2938999999999998</v>
      </c>
      <c r="E3" s="1">
        <v>0.32430555555555557</v>
      </c>
      <c r="I3" t="s">
        <v>73</v>
      </c>
    </row>
    <row r="4" spans="1:9" x14ac:dyDescent="0.3">
      <c r="A4" t="s">
        <v>72</v>
      </c>
      <c r="C4" t="s">
        <v>60</v>
      </c>
      <c r="D4">
        <v>2.4137</v>
      </c>
      <c r="E4" s="1">
        <v>0.32500000000000001</v>
      </c>
    </row>
    <row r="5" spans="1:9" x14ac:dyDescent="0.3">
      <c r="A5" t="s">
        <v>3</v>
      </c>
      <c r="C5" t="s">
        <v>60</v>
      </c>
      <c r="D5">
        <v>2.8531</v>
      </c>
      <c r="E5" s="1">
        <v>0.3263888888888889</v>
      </c>
    </row>
    <row r="6" spans="1:9" x14ac:dyDescent="0.3">
      <c r="A6" t="s">
        <v>74</v>
      </c>
      <c r="C6" t="s">
        <v>60</v>
      </c>
      <c r="D6">
        <v>2.3696999999999999</v>
      </c>
      <c r="E6" s="1">
        <v>0.32708333333333334</v>
      </c>
    </row>
    <row r="7" spans="1:9" x14ac:dyDescent="0.3">
      <c r="A7" t="s">
        <v>75</v>
      </c>
      <c r="C7" t="s">
        <v>60</v>
      </c>
      <c r="D7">
        <v>2.5568</v>
      </c>
      <c r="E7" s="1">
        <v>0.32777777777777778</v>
      </c>
    </row>
    <row r="8" spans="1:9" x14ac:dyDescent="0.3">
      <c r="A8" t="s">
        <v>76</v>
      </c>
      <c r="C8" t="s">
        <v>60</v>
      </c>
      <c r="D8">
        <v>1.5932999999999999</v>
      </c>
      <c r="E8" s="1">
        <v>0.32847222222222222</v>
      </c>
    </row>
    <row r="9" spans="1:9" x14ac:dyDescent="0.3">
      <c r="A9" t="s">
        <v>77</v>
      </c>
      <c r="C9" t="s">
        <v>60</v>
      </c>
      <c r="D9">
        <v>2.2046000000000001</v>
      </c>
      <c r="E9" s="1">
        <v>0.3298611111111111</v>
      </c>
    </row>
    <row r="10" spans="1:9" x14ac:dyDescent="0.3">
      <c r="A10" t="s">
        <v>78</v>
      </c>
      <c r="C10" t="s">
        <v>60</v>
      </c>
      <c r="D10">
        <v>1.6995</v>
      </c>
      <c r="E10" s="1">
        <v>0.33194444444444443</v>
      </c>
    </row>
    <row r="11" spans="1:9" x14ac:dyDescent="0.3">
      <c r="A11" t="s">
        <v>79</v>
      </c>
      <c r="C11" t="s">
        <v>60</v>
      </c>
      <c r="D11">
        <v>1.4856</v>
      </c>
      <c r="E11" s="1">
        <v>0.33333333333333331</v>
      </c>
    </row>
    <row r="12" spans="1:9" x14ac:dyDescent="0.3">
      <c r="A12" t="s">
        <v>70</v>
      </c>
      <c r="B12">
        <v>0</v>
      </c>
      <c r="C12">
        <v>0</v>
      </c>
      <c r="D12">
        <v>2.2999999999999998</v>
      </c>
      <c r="E12" s="1">
        <f>E2+20/1440</f>
        <v>0.33680555555555558</v>
      </c>
    </row>
    <row r="13" spans="1:9" x14ac:dyDescent="0.3">
      <c r="A13" t="s">
        <v>71</v>
      </c>
      <c r="B13">
        <v>0</v>
      </c>
      <c r="C13">
        <f t="shared" ref="C13:C21" si="0">D3-D13</f>
        <v>4.2399999999999771E-2</v>
      </c>
      <c r="D13">
        <v>3.2515000000000001</v>
      </c>
      <c r="E13" s="1">
        <f t="shared" ref="E13:E21" si="1">E3+20/1440</f>
        <v>0.33819444444444446</v>
      </c>
    </row>
    <row r="14" spans="1:9" x14ac:dyDescent="0.3">
      <c r="A14" t="s">
        <v>72</v>
      </c>
      <c r="B14">
        <v>0</v>
      </c>
      <c r="C14">
        <f t="shared" si="0"/>
        <v>1.5800000000000036E-2</v>
      </c>
      <c r="D14">
        <v>2.3978999999999999</v>
      </c>
      <c r="E14" s="1">
        <f t="shared" si="1"/>
        <v>0.33888888888888891</v>
      </c>
    </row>
    <row r="15" spans="1:9" x14ac:dyDescent="0.3">
      <c r="A15" t="s">
        <v>3</v>
      </c>
      <c r="B15">
        <v>0</v>
      </c>
      <c r="C15">
        <f t="shared" si="0"/>
        <v>2.8599999999999959E-2</v>
      </c>
      <c r="D15">
        <v>2.8245</v>
      </c>
      <c r="E15" s="1">
        <f t="shared" si="1"/>
        <v>0.34027777777777779</v>
      </c>
    </row>
    <row r="16" spans="1:9" x14ac:dyDescent="0.3">
      <c r="A16" t="s">
        <v>74</v>
      </c>
      <c r="B16">
        <v>0</v>
      </c>
      <c r="C16">
        <f t="shared" si="0"/>
        <v>1.6799999999999926E-2</v>
      </c>
      <c r="D16">
        <v>2.3529</v>
      </c>
      <c r="E16" s="1">
        <f t="shared" si="1"/>
        <v>0.34097222222222223</v>
      </c>
    </row>
    <row r="17" spans="1:5" x14ac:dyDescent="0.3">
      <c r="A17" t="s">
        <v>75</v>
      </c>
      <c r="B17">
        <v>0</v>
      </c>
      <c r="C17">
        <f t="shared" si="0"/>
        <v>3.5299999999999887E-2</v>
      </c>
      <c r="D17">
        <v>2.5215000000000001</v>
      </c>
      <c r="E17" s="1">
        <f t="shared" si="1"/>
        <v>0.34166666666666667</v>
      </c>
    </row>
    <row r="18" spans="1:5" x14ac:dyDescent="0.3">
      <c r="A18" t="s">
        <v>76</v>
      </c>
      <c r="B18">
        <v>0</v>
      </c>
      <c r="C18">
        <f t="shared" si="0"/>
        <v>1.519999999999988E-2</v>
      </c>
      <c r="D18">
        <v>1.5781000000000001</v>
      </c>
      <c r="E18" s="1">
        <f t="shared" si="1"/>
        <v>0.34236111111111112</v>
      </c>
    </row>
    <row r="19" spans="1:5" x14ac:dyDescent="0.3">
      <c r="A19" t="s">
        <v>77</v>
      </c>
      <c r="B19">
        <v>0</v>
      </c>
      <c r="C19">
        <f>D9-D19</f>
        <v>2.3900000000000254E-2</v>
      </c>
      <c r="D19">
        <v>2.1806999999999999</v>
      </c>
      <c r="E19" s="1">
        <f t="shared" si="1"/>
        <v>0.34375</v>
      </c>
    </row>
    <row r="20" spans="1:5" x14ac:dyDescent="0.3">
      <c r="A20" t="s">
        <v>78</v>
      </c>
      <c r="B20">
        <v>0</v>
      </c>
      <c r="C20">
        <f t="shared" si="0"/>
        <v>3.180000000000005E-2</v>
      </c>
      <c r="D20">
        <v>1.6677</v>
      </c>
      <c r="E20" s="1">
        <f t="shared" si="1"/>
        <v>0.34583333333333333</v>
      </c>
    </row>
    <row r="21" spans="1:5" x14ac:dyDescent="0.3">
      <c r="A21" t="s">
        <v>79</v>
      </c>
      <c r="B21">
        <v>0</v>
      </c>
      <c r="C21">
        <f t="shared" si="0"/>
        <v>3.0899999999999928E-2</v>
      </c>
      <c r="D21">
        <v>1.4547000000000001</v>
      </c>
      <c r="E21" s="1">
        <f t="shared" si="1"/>
        <v>0.34722222222222221</v>
      </c>
    </row>
    <row r="22" spans="1:5" x14ac:dyDescent="0.3">
      <c r="A22" t="s">
        <v>70</v>
      </c>
      <c r="B22">
        <v>20</v>
      </c>
      <c r="C22" s="5">
        <f>(D12-D22)/20</f>
        <v>7.6999999999998185E-4</v>
      </c>
      <c r="D22">
        <v>2.2846000000000002</v>
      </c>
      <c r="E22" s="1">
        <f>E12+20/1440</f>
        <v>0.35069444444444448</v>
      </c>
    </row>
    <row r="23" spans="1:5" x14ac:dyDescent="0.3">
      <c r="A23" t="s">
        <v>71</v>
      </c>
      <c r="B23">
        <v>20</v>
      </c>
      <c r="C23" s="5">
        <f t="shared" ref="C23:C86" si="2">(D13-D23)/20</f>
        <v>1.4750000000000041E-3</v>
      </c>
      <c r="D23">
        <v>3.222</v>
      </c>
      <c r="E23" s="1">
        <f t="shared" ref="E23:E27" si="3">E13+20/1440</f>
        <v>0.35208333333333336</v>
      </c>
    </row>
    <row r="24" spans="1:5" x14ac:dyDescent="0.3">
      <c r="A24" t="s">
        <v>72</v>
      </c>
      <c r="B24">
        <v>20</v>
      </c>
      <c r="C24" s="5">
        <f t="shared" si="2"/>
        <v>8.8500000000000243E-4</v>
      </c>
      <c r="D24">
        <v>2.3801999999999999</v>
      </c>
      <c r="E24" s="1">
        <f t="shared" si="3"/>
        <v>0.3527777777777778</v>
      </c>
    </row>
    <row r="25" spans="1:5" x14ac:dyDescent="0.3">
      <c r="A25" t="s">
        <v>3</v>
      </c>
      <c r="B25">
        <v>20</v>
      </c>
      <c r="C25" s="2">
        <f t="shared" si="2"/>
        <v>1.1200000000000099E-3</v>
      </c>
      <c r="D25">
        <v>2.8020999999999998</v>
      </c>
      <c r="E25" s="1">
        <f t="shared" si="3"/>
        <v>0.35416666666666669</v>
      </c>
    </row>
    <row r="26" spans="1:5" x14ac:dyDescent="0.3">
      <c r="A26" t="s">
        <v>74</v>
      </c>
      <c r="B26">
        <v>20</v>
      </c>
      <c r="C26" s="5">
        <f t="shared" si="2"/>
        <v>8.250000000000091E-4</v>
      </c>
      <c r="D26">
        <v>2.3363999999999998</v>
      </c>
      <c r="E26" s="1">
        <f t="shared" si="3"/>
        <v>0.35486111111111113</v>
      </c>
    </row>
    <row r="27" spans="1:5" x14ac:dyDescent="0.3">
      <c r="A27" t="s">
        <v>75</v>
      </c>
      <c r="B27">
        <v>20</v>
      </c>
      <c r="C27" s="5">
        <f t="shared" si="2"/>
        <v>1.6399999999999969E-3</v>
      </c>
      <c r="D27">
        <v>2.4887000000000001</v>
      </c>
      <c r="E27" s="1">
        <f t="shared" si="3"/>
        <v>0.35555555555555557</v>
      </c>
    </row>
    <row r="28" spans="1:5" x14ac:dyDescent="0.3">
      <c r="A28" t="s">
        <v>76</v>
      </c>
      <c r="B28">
        <v>20</v>
      </c>
      <c r="C28" s="5">
        <f t="shared" si="2"/>
        <v>6.750000000000034E-4</v>
      </c>
      <c r="D28">
        <v>1.5646</v>
      </c>
      <c r="E28" s="1">
        <f>E18+20/1440</f>
        <v>0.35625000000000001</v>
      </c>
    </row>
    <row r="29" spans="1:5" x14ac:dyDescent="0.3">
      <c r="A29" t="s">
        <v>77</v>
      </c>
      <c r="B29">
        <v>20</v>
      </c>
      <c r="C29" s="5">
        <f t="shared" si="2"/>
        <v>9.3499999999999692E-4</v>
      </c>
      <c r="D29">
        <v>2.1619999999999999</v>
      </c>
      <c r="E29" s="1">
        <f>E19+20/1440</f>
        <v>0.3576388888888889</v>
      </c>
    </row>
    <row r="30" spans="1:5" x14ac:dyDescent="0.3">
      <c r="A30" t="s">
        <v>78</v>
      </c>
      <c r="B30">
        <v>20</v>
      </c>
      <c r="C30" s="5">
        <f t="shared" si="2"/>
        <v>1.3699999999999934E-3</v>
      </c>
      <c r="D30">
        <v>1.6403000000000001</v>
      </c>
      <c r="E30" s="1">
        <f>E20+20/1440</f>
        <v>0.35972222222222222</v>
      </c>
    </row>
    <row r="31" spans="1:5" x14ac:dyDescent="0.3">
      <c r="A31" t="s">
        <v>79</v>
      </c>
      <c r="B31">
        <v>20</v>
      </c>
      <c r="C31" s="5">
        <f t="shared" si="2"/>
        <v>1.6200000000000103E-3</v>
      </c>
      <c r="D31">
        <v>1.4222999999999999</v>
      </c>
      <c r="E31" s="1">
        <f>E21+20/1440</f>
        <v>0.3611111111111111</v>
      </c>
    </row>
    <row r="32" spans="1:5" x14ac:dyDescent="0.3">
      <c r="A32" t="s">
        <v>70</v>
      </c>
      <c r="B32">
        <v>40</v>
      </c>
      <c r="C32" s="5">
        <f t="shared" si="2"/>
        <v>7.4000000000000736E-4</v>
      </c>
      <c r="D32">
        <v>2.2698</v>
      </c>
      <c r="E32" s="8">
        <f t="shared" ref="E32:E95" si="4">E22+20/1440</f>
        <v>0.36458333333333337</v>
      </c>
    </row>
    <row r="33" spans="1:5" x14ac:dyDescent="0.3">
      <c r="A33" t="s">
        <v>71</v>
      </c>
      <c r="B33">
        <v>40</v>
      </c>
      <c r="C33" s="5">
        <f t="shared" si="2"/>
        <v>1.6599999999999948E-3</v>
      </c>
      <c r="D33">
        <v>3.1888000000000001</v>
      </c>
      <c r="E33" s="1">
        <f t="shared" si="4"/>
        <v>0.36597222222222225</v>
      </c>
    </row>
    <row r="34" spans="1:5" x14ac:dyDescent="0.3">
      <c r="A34" t="s">
        <v>72</v>
      </c>
      <c r="B34">
        <v>40</v>
      </c>
      <c r="C34" s="5">
        <f t="shared" si="2"/>
        <v>9.5999999999998311E-4</v>
      </c>
      <c r="D34">
        <v>2.3610000000000002</v>
      </c>
      <c r="E34" s="1">
        <f t="shared" si="4"/>
        <v>0.3666666666666667</v>
      </c>
    </row>
    <row r="35" spans="1:5" x14ac:dyDescent="0.3">
      <c r="A35" t="s">
        <v>3</v>
      </c>
      <c r="B35">
        <v>40</v>
      </c>
      <c r="C35" s="2">
        <f t="shared" si="2"/>
        <v>1.1499999999999844E-3</v>
      </c>
      <c r="D35">
        <v>2.7791000000000001</v>
      </c>
      <c r="E35" s="1">
        <f t="shared" si="4"/>
        <v>0.36805555555555558</v>
      </c>
    </row>
    <row r="36" spans="1:5" x14ac:dyDescent="0.3">
      <c r="A36" t="s">
        <v>74</v>
      </c>
      <c r="B36">
        <v>40</v>
      </c>
      <c r="C36" s="5">
        <f t="shared" si="2"/>
        <v>1.0699999999999933E-3</v>
      </c>
      <c r="D36">
        <v>2.3149999999999999</v>
      </c>
      <c r="E36" s="1">
        <f t="shared" si="4"/>
        <v>0.36875000000000002</v>
      </c>
    </row>
    <row r="37" spans="1:5" x14ac:dyDescent="0.3">
      <c r="A37" t="s">
        <v>75</v>
      </c>
      <c r="B37">
        <v>40</v>
      </c>
      <c r="C37" s="5">
        <f t="shared" si="2"/>
        <v>1.8450000000000077E-3</v>
      </c>
      <c r="D37">
        <v>2.4518</v>
      </c>
      <c r="E37" s="1">
        <f t="shared" si="4"/>
        <v>0.36944444444444446</v>
      </c>
    </row>
    <row r="38" spans="1:5" x14ac:dyDescent="0.3">
      <c r="A38" t="s">
        <v>76</v>
      </c>
      <c r="B38">
        <v>40</v>
      </c>
      <c r="C38" s="5">
        <f t="shared" si="2"/>
        <v>6.7000000000000393E-4</v>
      </c>
      <c r="D38">
        <v>1.5511999999999999</v>
      </c>
      <c r="E38" s="1">
        <f t="shared" si="4"/>
        <v>0.37013888888888891</v>
      </c>
    </row>
    <row r="39" spans="1:5" x14ac:dyDescent="0.3">
      <c r="A39" t="s">
        <v>77</v>
      </c>
      <c r="B39">
        <v>40</v>
      </c>
      <c r="C39" s="5">
        <f t="shared" si="2"/>
        <v>8.5999999999999412E-4</v>
      </c>
      <c r="D39">
        <v>2.1448</v>
      </c>
      <c r="E39" s="1">
        <f t="shared" si="4"/>
        <v>0.37152777777777779</v>
      </c>
    </row>
    <row r="40" spans="1:5" x14ac:dyDescent="0.3">
      <c r="A40" t="s">
        <v>78</v>
      </c>
      <c r="B40">
        <v>40</v>
      </c>
      <c r="C40" s="5">
        <f t="shared" si="2"/>
        <v>1.8800000000000038E-3</v>
      </c>
      <c r="D40">
        <v>1.6027</v>
      </c>
      <c r="E40" s="1">
        <f t="shared" si="4"/>
        <v>0.37361111111111112</v>
      </c>
    </row>
    <row r="41" spans="1:5" x14ac:dyDescent="0.3">
      <c r="A41" t="s">
        <v>79</v>
      </c>
      <c r="B41">
        <v>40</v>
      </c>
      <c r="C41" s="5">
        <f t="shared" si="2"/>
        <v>1.4299999999999979E-3</v>
      </c>
      <c r="D41">
        <v>1.3936999999999999</v>
      </c>
      <c r="E41" s="1">
        <f t="shared" si="4"/>
        <v>0.375</v>
      </c>
    </row>
    <row r="42" spans="1:5" x14ac:dyDescent="0.3">
      <c r="A42" t="s">
        <v>70</v>
      </c>
      <c r="B42">
        <v>60</v>
      </c>
      <c r="C42" s="5">
        <f t="shared" si="2"/>
        <v>6.4500000000000668E-4</v>
      </c>
      <c r="D42">
        <v>2.2568999999999999</v>
      </c>
      <c r="E42" s="8">
        <f t="shared" si="4"/>
        <v>0.37847222222222227</v>
      </c>
    </row>
    <row r="43" spans="1:5" x14ac:dyDescent="0.3">
      <c r="A43" t="s">
        <v>71</v>
      </c>
      <c r="B43">
        <v>60</v>
      </c>
      <c r="C43" s="5">
        <f t="shared" si="2"/>
        <v>2.0750000000000048E-3</v>
      </c>
      <c r="D43">
        <v>3.1473</v>
      </c>
      <c r="E43" s="1">
        <f t="shared" si="4"/>
        <v>0.37986111111111115</v>
      </c>
    </row>
    <row r="44" spans="1:5" x14ac:dyDescent="0.3">
      <c r="A44" t="s">
        <v>72</v>
      </c>
      <c r="B44">
        <v>60</v>
      </c>
      <c r="C44" s="5">
        <f t="shared" si="2"/>
        <v>1.2600000000000167E-3</v>
      </c>
      <c r="D44">
        <v>2.3357999999999999</v>
      </c>
      <c r="E44" s="1">
        <f t="shared" si="4"/>
        <v>0.38055555555555559</v>
      </c>
    </row>
    <row r="45" spans="1:5" x14ac:dyDescent="0.3">
      <c r="A45" t="s">
        <v>3</v>
      </c>
      <c r="B45">
        <v>60</v>
      </c>
      <c r="C45" s="2">
        <f t="shared" si="2"/>
        <v>1.2900000000000134E-3</v>
      </c>
      <c r="D45">
        <v>2.7532999999999999</v>
      </c>
      <c r="E45" s="1">
        <f t="shared" si="4"/>
        <v>0.38194444444444448</v>
      </c>
    </row>
    <row r="46" spans="1:5" x14ac:dyDescent="0.3">
      <c r="A46" t="s">
        <v>74</v>
      </c>
      <c r="B46">
        <v>60</v>
      </c>
      <c r="C46" s="5">
        <f t="shared" si="2"/>
        <v>1.1199999999999878E-3</v>
      </c>
      <c r="D46">
        <v>2.2926000000000002</v>
      </c>
      <c r="E46" s="1">
        <f t="shared" si="4"/>
        <v>0.38263888888888892</v>
      </c>
    </row>
    <row r="47" spans="1:5" x14ac:dyDescent="0.3">
      <c r="A47" t="s">
        <v>75</v>
      </c>
      <c r="B47">
        <v>60</v>
      </c>
      <c r="C47" s="5">
        <f t="shared" si="2"/>
        <v>1.8299999999999983E-3</v>
      </c>
      <c r="D47">
        <v>2.4152</v>
      </c>
      <c r="E47" s="1">
        <f t="shared" si="4"/>
        <v>0.38333333333333336</v>
      </c>
    </row>
    <row r="48" spans="1:5" x14ac:dyDescent="0.3">
      <c r="A48" t="s">
        <v>76</v>
      </c>
      <c r="B48">
        <v>60</v>
      </c>
      <c r="C48" s="5">
        <f t="shared" si="2"/>
        <v>6.6999999999999287E-4</v>
      </c>
      <c r="D48">
        <v>1.5378000000000001</v>
      </c>
      <c r="E48" s="1">
        <f t="shared" si="4"/>
        <v>0.3840277777777778</v>
      </c>
    </row>
    <row r="49" spans="1:5" x14ac:dyDescent="0.3">
      <c r="A49" t="s">
        <v>77</v>
      </c>
      <c r="B49">
        <v>60</v>
      </c>
      <c r="C49" s="5">
        <f t="shared" si="2"/>
        <v>8.0500000000001122E-4</v>
      </c>
      <c r="D49">
        <v>2.1286999999999998</v>
      </c>
      <c r="E49" s="1">
        <f t="shared" si="4"/>
        <v>0.38541666666666669</v>
      </c>
    </row>
    <row r="50" spans="1:5" x14ac:dyDescent="0.3">
      <c r="A50" t="s">
        <v>78</v>
      </c>
      <c r="B50">
        <v>60</v>
      </c>
      <c r="C50" s="5">
        <f t="shared" si="2"/>
        <v>1.2249999999999982E-3</v>
      </c>
      <c r="D50">
        <v>1.5782</v>
      </c>
      <c r="E50" s="1">
        <f t="shared" si="4"/>
        <v>0.38750000000000001</v>
      </c>
    </row>
    <row r="51" spans="1:5" x14ac:dyDescent="0.3">
      <c r="A51" t="s">
        <v>79</v>
      </c>
      <c r="B51">
        <v>60</v>
      </c>
      <c r="C51" s="5">
        <f t="shared" si="2"/>
        <v>1.3549999999999951E-3</v>
      </c>
      <c r="D51">
        <v>1.3666</v>
      </c>
      <c r="E51" s="1">
        <f t="shared" si="4"/>
        <v>0.3888888888888889</v>
      </c>
    </row>
    <row r="52" spans="1:5" x14ac:dyDescent="0.3">
      <c r="A52" t="s">
        <v>70</v>
      </c>
      <c r="B52">
        <v>80</v>
      </c>
      <c r="C52" s="5">
        <f t="shared" si="2"/>
        <v>7.9000000000000186E-4</v>
      </c>
      <c r="D52">
        <v>2.2410999999999999</v>
      </c>
      <c r="E52" s="8">
        <f t="shared" si="4"/>
        <v>0.39236111111111116</v>
      </c>
    </row>
    <row r="53" spans="1:5" x14ac:dyDescent="0.3">
      <c r="A53" t="s">
        <v>71</v>
      </c>
      <c r="B53">
        <v>80</v>
      </c>
      <c r="C53" s="5">
        <f t="shared" si="2"/>
        <v>3.1549999999999968E-3</v>
      </c>
      <c r="D53">
        <v>3.0842000000000001</v>
      </c>
      <c r="E53" s="1">
        <f t="shared" si="4"/>
        <v>0.39375000000000004</v>
      </c>
    </row>
    <row r="54" spans="1:5" x14ac:dyDescent="0.3">
      <c r="A54" t="s">
        <v>72</v>
      </c>
      <c r="B54">
        <v>80</v>
      </c>
      <c r="C54" s="5">
        <f t="shared" si="2"/>
        <v>1.9599999999999839E-3</v>
      </c>
      <c r="D54">
        <v>2.2966000000000002</v>
      </c>
      <c r="E54" s="1">
        <f t="shared" si="4"/>
        <v>0.39444444444444449</v>
      </c>
    </row>
    <row r="55" spans="1:5" x14ac:dyDescent="0.3">
      <c r="A55" t="s">
        <v>3</v>
      </c>
      <c r="B55">
        <v>80</v>
      </c>
      <c r="C55" s="2">
        <f t="shared" si="2"/>
        <v>1.2649999999999827E-3</v>
      </c>
      <c r="D55">
        <v>2.7280000000000002</v>
      </c>
      <c r="E55" s="1">
        <f t="shared" si="4"/>
        <v>0.39583333333333337</v>
      </c>
    </row>
    <row r="56" spans="1:5" x14ac:dyDescent="0.3">
      <c r="A56" t="s">
        <v>74</v>
      </c>
      <c r="B56">
        <v>80</v>
      </c>
      <c r="C56" s="5">
        <f t="shared" si="2"/>
        <v>9.2000000000000968E-4</v>
      </c>
      <c r="D56">
        <v>2.2742</v>
      </c>
      <c r="E56" s="1">
        <f t="shared" si="4"/>
        <v>0.39652777777777781</v>
      </c>
    </row>
    <row r="57" spans="1:5" x14ac:dyDescent="0.3">
      <c r="A57" t="s">
        <v>75</v>
      </c>
      <c r="B57">
        <v>80</v>
      </c>
      <c r="C57" s="5">
        <f t="shared" si="2"/>
        <v>1.4699999999999934E-3</v>
      </c>
      <c r="D57">
        <v>2.3858000000000001</v>
      </c>
      <c r="E57" s="1">
        <f t="shared" si="4"/>
        <v>0.39722222222222225</v>
      </c>
    </row>
    <row r="58" spans="1:5" x14ac:dyDescent="0.3">
      <c r="A58" t="s">
        <v>76</v>
      </c>
      <c r="B58">
        <v>80</v>
      </c>
      <c r="C58" s="5">
        <f t="shared" si="2"/>
        <v>6.0000000000000049E-4</v>
      </c>
      <c r="D58">
        <v>1.5258</v>
      </c>
      <c r="E58" s="1">
        <f t="shared" si="4"/>
        <v>0.3979166666666667</v>
      </c>
    </row>
    <row r="59" spans="1:5" x14ac:dyDescent="0.3">
      <c r="A59" t="s">
        <v>77</v>
      </c>
      <c r="B59">
        <v>80</v>
      </c>
      <c r="C59" s="5">
        <f t="shared" si="2"/>
        <v>8.6999999999999296E-4</v>
      </c>
      <c r="D59">
        <v>2.1113</v>
      </c>
      <c r="E59" s="1">
        <f t="shared" si="4"/>
        <v>0.39930555555555558</v>
      </c>
    </row>
    <row r="60" spans="1:5" x14ac:dyDescent="0.3">
      <c r="A60" t="s">
        <v>78</v>
      </c>
      <c r="B60">
        <v>80</v>
      </c>
      <c r="C60" s="5">
        <f t="shared" si="2"/>
        <v>1.2349999999999972E-3</v>
      </c>
      <c r="D60">
        <v>1.5535000000000001</v>
      </c>
      <c r="E60" s="1">
        <f t="shared" si="4"/>
        <v>0.40138888888888891</v>
      </c>
    </row>
    <row r="61" spans="1:5" x14ac:dyDescent="0.3">
      <c r="A61" t="s">
        <v>79</v>
      </c>
      <c r="B61">
        <v>80</v>
      </c>
      <c r="C61" s="5">
        <f t="shared" si="2"/>
        <v>1.3500000000000068E-3</v>
      </c>
      <c r="D61">
        <v>1.3395999999999999</v>
      </c>
      <c r="E61" s="1">
        <f t="shared" si="4"/>
        <v>0.40277777777777779</v>
      </c>
    </row>
    <row r="62" spans="1:5" x14ac:dyDescent="0.3">
      <c r="A62" t="s">
        <v>70</v>
      </c>
      <c r="B62">
        <v>100</v>
      </c>
      <c r="C62" s="5">
        <f t="shared" si="2"/>
        <v>6.9500000000000117E-4</v>
      </c>
      <c r="D62">
        <v>2.2271999999999998</v>
      </c>
      <c r="E62" s="8">
        <f t="shared" si="4"/>
        <v>0.40625000000000006</v>
      </c>
    </row>
    <row r="63" spans="1:5" x14ac:dyDescent="0.3">
      <c r="A63" t="s">
        <v>71</v>
      </c>
      <c r="B63">
        <v>100</v>
      </c>
      <c r="C63" s="5">
        <f t="shared" si="2"/>
        <v>1.6450000000000076E-3</v>
      </c>
      <c r="D63">
        <v>3.0512999999999999</v>
      </c>
      <c r="E63" s="1">
        <f t="shared" si="4"/>
        <v>0.40763888888888894</v>
      </c>
    </row>
    <row r="64" spans="1:5" x14ac:dyDescent="0.3">
      <c r="A64" t="s">
        <v>72</v>
      </c>
      <c r="B64">
        <v>100</v>
      </c>
      <c r="C64" s="5">
        <f t="shared" si="2"/>
        <v>1.6000000000000014E-3</v>
      </c>
      <c r="D64">
        <v>2.2646000000000002</v>
      </c>
      <c r="E64" s="1">
        <f t="shared" si="4"/>
        <v>0.40833333333333338</v>
      </c>
    </row>
    <row r="65" spans="1:5" x14ac:dyDescent="0.3">
      <c r="A65" t="s">
        <v>3</v>
      </c>
      <c r="B65">
        <v>100</v>
      </c>
      <c r="C65" s="2">
        <f t="shared" si="2"/>
        <v>1.0800000000000143E-3</v>
      </c>
      <c r="D65">
        <v>2.7063999999999999</v>
      </c>
      <c r="E65" s="1">
        <f t="shared" si="4"/>
        <v>0.40972222222222227</v>
      </c>
    </row>
    <row r="66" spans="1:5" x14ac:dyDescent="0.3">
      <c r="A66" t="s">
        <v>74</v>
      </c>
      <c r="B66">
        <v>100</v>
      </c>
      <c r="C66" s="5">
        <f t="shared" si="2"/>
        <v>7.4499999999999567E-4</v>
      </c>
      <c r="D66">
        <v>2.2593000000000001</v>
      </c>
      <c r="E66" s="1">
        <f t="shared" si="4"/>
        <v>0.41041666666666671</v>
      </c>
    </row>
    <row r="67" spans="1:5" x14ac:dyDescent="0.3">
      <c r="A67" t="s">
        <v>75</v>
      </c>
      <c r="B67">
        <v>100</v>
      </c>
      <c r="C67" s="5">
        <f t="shared" si="2"/>
        <v>1.3300000000000089E-3</v>
      </c>
      <c r="D67">
        <v>2.3592</v>
      </c>
      <c r="E67" s="1">
        <f t="shared" si="4"/>
        <v>0.41111111111111115</v>
      </c>
    </row>
    <row r="68" spans="1:5" x14ac:dyDescent="0.3">
      <c r="A68" t="s">
        <v>76</v>
      </c>
      <c r="B68">
        <v>100</v>
      </c>
      <c r="C68" s="5">
        <f t="shared" si="2"/>
        <v>6.0999999999999943E-4</v>
      </c>
      <c r="D68">
        <v>1.5136000000000001</v>
      </c>
      <c r="E68" s="1">
        <f t="shared" si="4"/>
        <v>0.41180555555555559</v>
      </c>
    </row>
    <row r="69" spans="1:5" x14ac:dyDescent="0.3">
      <c r="A69" t="s">
        <v>77</v>
      </c>
      <c r="B69">
        <v>100</v>
      </c>
      <c r="C69" s="5">
        <f t="shared" si="2"/>
        <v>8.750000000000036E-4</v>
      </c>
      <c r="D69">
        <v>2.0937999999999999</v>
      </c>
      <c r="E69" s="1">
        <f t="shared" si="4"/>
        <v>0.41319444444444448</v>
      </c>
    </row>
    <row r="70" spans="1:5" x14ac:dyDescent="0.3">
      <c r="A70" t="s">
        <v>78</v>
      </c>
      <c r="B70">
        <v>100</v>
      </c>
      <c r="C70" s="5">
        <f t="shared" si="2"/>
        <v>1.2099999999999999E-3</v>
      </c>
      <c r="D70">
        <v>1.5293000000000001</v>
      </c>
      <c r="E70" s="1">
        <f t="shared" si="4"/>
        <v>0.4152777777777778</v>
      </c>
    </row>
    <row r="71" spans="1:5" x14ac:dyDescent="0.3">
      <c r="A71" t="s">
        <v>79</v>
      </c>
      <c r="B71">
        <v>100</v>
      </c>
      <c r="C71" s="5">
        <f t="shared" si="2"/>
        <v>1.3399999999999968E-3</v>
      </c>
      <c r="D71">
        <v>1.3128</v>
      </c>
      <c r="E71" s="1">
        <f t="shared" si="4"/>
        <v>0.41666666666666669</v>
      </c>
    </row>
    <row r="72" spans="1:5" x14ac:dyDescent="0.3">
      <c r="A72" t="s">
        <v>70</v>
      </c>
      <c r="B72">
        <v>120</v>
      </c>
      <c r="C72" s="5">
        <f t="shared" si="2"/>
        <v>7.4999999999998397E-4</v>
      </c>
      <c r="D72">
        <v>2.2122000000000002</v>
      </c>
      <c r="E72" s="8">
        <f t="shared" si="4"/>
        <v>0.42013888888888895</v>
      </c>
    </row>
    <row r="73" spans="1:5" x14ac:dyDescent="0.3">
      <c r="A73" t="s">
        <v>71</v>
      </c>
      <c r="B73">
        <v>120</v>
      </c>
      <c r="C73" s="5">
        <f t="shared" si="2"/>
        <v>1.5900000000000024E-3</v>
      </c>
      <c r="D73">
        <v>3.0194999999999999</v>
      </c>
      <c r="E73" s="1">
        <f t="shared" si="4"/>
        <v>0.42152777777777783</v>
      </c>
    </row>
    <row r="74" spans="1:5" x14ac:dyDescent="0.3">
      <c r="A74" t="s">
        <v>72</v>
      </c>
      <c r="B74">
        <v>120</v>
      </c>
      <c r="C74" s="5">
        <f t="shared" si="2"/>
        <v>7.4500000000001789E-4</v>
      </c>
      <c r="D74">
        <v>2.2496999999999998</v>
      </c>
      <c r="E74" s="1">
        <f t="shared" si="4"/>
        <v>0.42222222222222228</v>
      </c>
    </row>
    <row r="75" spans="1:5" x14ac:dyDescent="0.3">
      <c r="A75" t="s">
        <v>3</v>
      </c>
      <c r="B75">
        <v>120</v>
      </c>
      <c r="C75" s="2">
        <f t="shared" si="2"/>
        <v>9.7499999999999258E-4</v>
      </c>
      <c r="D75">
        <v>2.6869000000000001</v>
      </c>
      <c r="E75" s="1">
        <f t="shared" si="4"/>
        <v>0.42361111111111116</v>
      </c>
    </row>
    <row r="76" spans="1:5" x14ac:dyDescent="0.3">
      <c r="A76" t="s">
        <v>74</v>
      </c>
      <c r="B76">
        <v>120</v>
      </c>
      <c r="C76" s="5">
        <f t="shared" si="2"/>
        <v>6.5500000000000562E-4</v>
      </c>
      <c r="D76">
        <v>2.2462</v>
      </c>
      <c r="E76" s="1">
        <f t="shared" si="4"/>
        <v>0.4243055555555556</v>
      </c>
    </row>
    <row r="77" spans="1:5" x14ac:dyDescent="0.3">
      <c r="A77" t="s">
        <v>75</v>
      </c>
      <c r="B77">
        <v>120</v>
      </c>
      <c r="C77" s="5">
        <f t="shared" si="2"/>
        <v>1.3449999999999962E-3</v>
      </c>
      <c r="D77">
        <v>2.3323</v>
      </c>
      <c r="E77" s="1">
        <f t="shared" si="4"/>
        <v>0.42500000000000004</v>
      </c>
    </row>
    <row r="78" spans="1:5" x14ac:dyDescent="0.3">
      <c r="A78" t="s">
        <v>76</v>
      </c>
      <c r="B78">
        <v>120</v>
      </c>
      <c r="C78" s="5">
        <f t="shared" si="2"/>
        <v>6.149999999999989E-4</v>
      </c>
      <c r="D78">
        <v>1.5013000000000001</v>
      </c>
      <c r="E78" s="1">
        <f t="shared" si="4"/>
        <v>0.42569444444444449</v>
      </c>
    </row>
    <row r="79" spans="1:5" x14ac:dyDescent="0.3">
      <c r="A79" t="s">
        <v>77</v>
      </c>
      <c r="B79">
        <v>120</v>
      </c>
      <c r="C79" s="5">
        <f t="shared" si="2"/>
        <v>7.6000000000000514E-4</v>
      </c>
      <c r="D79">
        <v>2.0785999999999998</v>
      </c>
      <c r="E79" s="1">
        <f t="shared" si="4"/>
        <v>0.42708333333333337</v>
      </c>
    </row>
    <row r="80" spans="1:5" x14ac:dyDescent="0.3">
      <c r="A80" t="s">
        <v>78</v>
      </c>
      <c r="B80">
        <v>120</v>
      </c>
      <c r="C80" s="5">
        <f t="shared" si="2"/>
        <v>1.090000000000002E-3</v>
      </c>
      <c r="D80">
        <v>1.5075000000000001</v>
      </c>
      <c r="E80" s="1">
        <f t="shared" si="4"/>
        <v>0.4291666666666667</v>
      </c>
    </row>
    <row r="81" spans="1:5" x14ac:dyDescent="0.3">
      <c r="A81" t="s">
        <v>79</v>
      </c>
      <c r="B81">
        <v>120</v>
      </c>
      <c r="C81" s="5">
        <f t="shared" si="2"/>
        <v>1.2299999999999978E-3</v>
      </c>
      <c r="D81">
        <v>1.2882</v>
      </c>
      <c r="E81" s="1">
        <f t="shared" si="4"/>
        <v>0.43055555555555558</v>
      </c>
    </row>
    <row r="82" spans="1:5" x14ac:dyDescent="0.3">
      <c r="A82" t="s">
        <v>70</v>
      </c>
      <c r="B82">
        <v>140</v>
      </c>
      <c r="C82" s="5">
        <f t="shared" si="2"/>
        <v>8.0999999999999963E-4</v>
      </c>
      <c r="D82">
        <v>2.1960000000000002</v>
      </c>
      <c r="E82" s="8">
        <f t="shared" si="4"/>
        <v>0.43402777777777785</v>
      </c>
    </row>
    <row r="83" spans="1:5" x14ac:dyDescent="0.3">
      <c r="A83" t="s">
        <v>71</v>
      </c>
      <c r="B83">
        <v>140</v>
      </c>
      <c r="C83" s="5">
        <f t="shared" si="2"/>
        <v>1.4100000000000002E-3</v>
      </c>
      <c r="D83">
        <v>2.9912999999999998</v>
      </c>
      <c r="E83" s="1">
        <f t="shared" si="4"/>
        <v>0.43541666666666673</v>
      </c>
    </row>
    <row r="84" spans="1:5" x14ac:dyDescent="0.3">
      <c r="A84" t="s">
        <v>72</v>
      </c>
      <c r="B84">
        <v>140</v>
      </c>
      <c r="C84" s="5">
        <f t="shared" si="2"/>
        <v>6.3999999999999615E-4</v>
      </c>
      <c r="D84">
        <v>2.2368999999999999</v>
      </c>
      <c r="E84" s="1">
        <f t="shared" si="4"/>
        <v>0.43611111111111117</v>
      </c>
    </row>
    <row r="85" spans="1:5" x14ac:dyDescent="0.3">
      <c r="A85" t="s">
        <v>3</v>
      </c>
      <c r="B85">
        <v>140</v>
      </c>
      <c r="C85" s="2">
        <f t="shared" si="2"/>
        <v>7.7000000000000397E-4</v>
      </c>
      <c r="D85">
        <v>2.6715</v>
      </c>
      <c r="E85" s="1">
        <f t="shared" si="4"/>
        <v>0.43750000000000006</v>
      </c>
    </row>
    <row r="86" spans="1:5" x14ac:dyDescent="0.3">
      <c r="A86" t="s">
        <v>74</v>
      </c>
      <c r="B86">
        <v>140</v>
      </c>
      <c r="C86" s="5">
        <f t="shared" si="2"/>
        <v>5.7499999999999218E-4</v>
      </c>
      <c r="D86">
        <v>2.2347000000000001</v>
      </c>
      <c r="E86" s="1">
        <f t="shared" si="4"/>
        <v>0.4381944444444445</v>
      </c>
    </row>
    <row r="87" spans="1:5" x14ac:dyDescent="0.3">
      <c r="A87" t="s">
        <v>75</v>
      </c>
      <c r="B87">
        <v>140</v>
      </c>
      <c r="C87" s="5">
        <f t="shared" ref="C87:C150" si="5">(D77-D87)/20</f>
        <v>1.3349999999999972E-3</v>
      </c>
      <c r="D87">
        <v>2.3056000000000001</v>
      </c>
      <c r="E87" s="1">
        <f t="shared" si="4"/>
        <v>0.43888888888888894</v>
      </c>
    </row>
    <row r="88" spans="1:5" x14ac:dyDescent="0.3">
      <c r="A88" t="s">
        <v>76</v>
      </c>
      <c r="B88">
        <v>140</v>
      </c>
      <c r="C88" s="5">
        <f t="shared" si="5"/>
        <v>5.6500000000000441E-4</v>
      </c>
      <c r="D88">
        <v>1.49</v>
      </c>
      <c r="E88" s="1">
        <f t="shared" si="4"/>
        <v>0.43958333333333338</v>
      </c>
    </row>
    <row r="89" spans="1:5" x14ac:dyDescent="0.3">
      <c r="A89" t="s">
        <v>77</v>
      </c>
      <c r="B89">
        <v>140</v>
      </c>
      <c r="C89" s="5">
        <f t="shared" si="5"/>
        <v>8.2999999999999741E-4</v>
      </c>
      <c r="D89">
        <v>2.0619999999999998</v>
      </c>
      <c r="E89" s="1">
        <f t="shared" si="4"/>
        <v>0.44097222222222227</v>
      </c>
    </row>
    <row r="90" spans="1:5" x14ac:dyDescent="0.3">
      <c r="A90" t="s">
        <v>78</v>
      </c>
      <c r="B90">
        <v>140</v>
      </c>
      <c r="C90" s="5">
        <f t="shared" si="5"/>
        <v>1.0800000000000033E-3</v>
      </c>
      <c r="D90">
        <v>1.4859</v>
      </c>
      <c r="E90" s="1">
        <f t="shared" si="4"/>
        <v>0.44305555555555559</v>
      </c>
    </row>
    <row r="91" spans="1:5" x14ac:dyDescent="0.3">
      <c r="A91" t="s">
        <v>79</v>
      </c>
      <c r="B91">
        <v>140</v>
      </c>
      <c r="C91" s="5">
        <f t="shared" si="5"/>
        <v>1.1800000000000033E-3</v>
      </c>
      <c r="D91">
        <v>1.2645999999999999</v>
      </c>
      <c r="E91" s="1">
        <f t="shared" si="4"/>
        <v>0.44444444444444448</v>
      </c>
    </row>
    <row r="92" spans="1:5" x14ac:dyDescent="0.3">
      <c r="A92" t="s">
        <v>70</v>
      </c>
      <c r="B92">
        <v>160</v>
      </c>
      <c r="C92" s="5">
        <f t="shared" si="5"/>
        <v>6.5000000000001721E-4</v>
      </c>
      <c r="D92">
        <v>2.1829999999999998</v>
      </c>
      <c r="E92" s="8">
        <f t="shared" si="4"/>
        <v>0.44791666666666674</v>
      </c>
    </row>
    <row r="93" spans="1:5" x14ac:dyDescent="0.3">
      <c r="A93" t="s">
        <v>71</v>
      </c>
      <c r="B93">
        <v>160</v>
      </c>
      <c r="C93" s="5">
        <f t="shared" si="5"/>
        <v>1.3499999999999845E-3</v>
      </c>
      <c r="D93">
        <v>2.9643000000000002</v>
      </c>
      <c r="E93" s="1">
        <f t="shared" si="4"/>
        <v>0.44930555555555562</v>
      </c>
    </row>
    <row r="94" spans="1:5" x14ac:dyDescent="0.3">
      <c r="A94" t="s">
        <v>72</v>
      </c>
      <c r="B94">
        <v>160</v>
      </c>
      <c r="C94" s="5">
        <f t="shared" si="5"/>
        <v>6.6999999999999287E-4</v>
      </c>
      <c r="D94">
        <v>2.2235</v>
      </c>
      <c r="E94" s="1">
        <f t="shared" si="4"/>
        <v>0.45000000000000007</v>
      </c>
    </row>
    <row r="95" spans="1:5" x14ac:dyDescent="0.3">
      <c r="A95" t="s">
        <v>3</v>
      </c>
      <c r="B95">
        <v>160</v>
      </c>
      <c r="C95" s="2">
        <f t="shared" si="5"/>
        <v>8.8500000000000243E-4</v>
      </c>
      <c r="D95">
        <v>2.6537999999999999</v>
      </c>
      <c r="E95" s="1">
        <f t="shared" si="4"/>
        <v>0.45138888888888895</v>
      </c>
    </row>
    <row r="96" spans="1:5" x14ac:dyDescent="0.3">
      <c r="A96" t="s">
        <v>74</v>
      </c>
      <c r="B96">
        <v>160</v>
      </c>
      <c r="C96" s="5">
        <f t="shared" si="5"/>
        <v>6.250000000000089E-4</v>
      </c>
      <c r="D96">
        <v>2.2222</v>
      </c>
      <c r="E96" s="1">
        <f t="shared" ref="E96:E151" si="6">E86+20/1440</f>
        <v>0.45208333333333339</v>
      </c>
    </row>
    <row r="97" spans="1:5" x14ac:dyDescent="0.3">
      <c r="A97" t="s">
        <v>75</v>
      </c>
      <c r="B97">
        <v>160</v>
      </c>
      <c r="C97" s="5">
        <f t="shared" si="5"/>
        <v>1.3300000000000089E-3</v>
      </c>
      <c r="D97">
        <v>2.2789999999999999</v>
      </c>
      <c r="E97" s="1">
        <f t="shared" si="6"/>
        <v>0.45277777777777783</v>
      </c>
    </row>
    <row r="98" spans="1:5" x14ac:dyDescent="0.3">
      <c r="A98" t="s">
        <v>76</v>
      </c>
      <c r="B98">
        <v>160</v>
      </c>
      <c r="C98" s="5">
        <f t="shared" si="5"/>
        <v>5.9000000000000166E-4</v>
      </c>
      <c r="D98">
        <v>1.4782</v>
      </c>
      <c r="E98" s="1">
        <f t="shared" si="6"/>
        <v>0.45347222222222228</v>
      </c>
    </row>
    <row r="99" spans="1:5" x14ac:dyDescent="0.3">
      <c r="A99" t="s">
        <v>77</v>
      </c>
      <c r="B99">
        <v>160</v>
      </c>
      <c r="C99" s="5">
        <f t="shared" si="5"/>
        <v>7.3999999999998514E-4</v>
      </c>
      <c r="D99">
        <v>2.0472000000000001</v>
      </c>
      <c r="E99" s="1">
        <f t="shared" si="6"/>
        <v>0.45486111111111116</v>
      </c>
    </row>
    <row r="100" spans="1:5" x14ac:dyDescent="0.3">
      <c r="A100" t="s">
        <v>78</v>
      </c>
      <c r="B100">
        <v>160</v>
      </c>
      <c r="C100" s="5">
        <f t="shared" si="5"/>
        <v>1.1449999999999961E-3</v>
      </c>
      <c r="D100">
        <v>1.4630000000000001</v>
      </c>
      <c r="E100" s="1">
        <f t="shared" si="6"/>
        <v>0.45694444444444449</v>
      </c>
    </row>
    <row r="101" spans="1:5" x14ac:dyDescent="0.3">
      <c r="A101" t="s">
        <v>79</v>
      </c>
      <c r="B101">
        <v>160</v>
      </c>
      <c r="C101" s="5">
        <f t="shared" si="5"/>
        <v>1.1649999999999937E-3</v>
      </c>
      <c r="D101">
        <v>1.2413000000000001</v>
      </c>
      <c r="E101" s="1">
        <f t="shared" si="6"/>
        <v>0.45833333333333337</v>
      </c>
    </row>
    <row r="102" spans="1:5" x14ac:dyDescent="0.3">
      <c r="A102" t="s">
        <v>70</v>
      </c>
      <c r="B102">
        <v>180</v>
      </c>
      <c r="C102" s="5">
        <f t="shared" si="5"/>
        <v>6.6999999999999287E-4</v>
      </c>
      <c r="D102">
        <v>2.1696</v>
      </c>
      <c r="E102" s="8">
        <f t="shared" si="6"/>
        <v>0.46180555555555564</v>
      </c>
    </row>
    <row r="103" spans="1:5" x14ac:dyDescent="0.3">
      <c r="A103" t="s">
        <v>71</v>
      </c>
      <c r="B103">
        <v>180</v>
      </c>
      <c r="C103" s="5">
        <f t="shared" si="5"/>
        <v>1.4150000000000107E-3</v>
      </c>
      <c r="D103">
        <v>2.9359999999999999</v>
      </c>
      <c r="E103" s="1">
        <f t="shared" si="6"/>
        <v>0.46319444444444452</v>
      </c>
    </row>
    <row r="104" spans="1:5" x14ac:dyDescent="0.3">
      <c r="A104" t="s">
        <v>72</v>
      </c>
      <c r="B104">
        <v>180</v>
      </c>
      <c r="C104" s="5">
        <f t="shared" si="5"/>
        <v>5.7000000000000388E-4</v>
      </c>
      <c r="D104">
        <v>2.2121</v>
      </c>
      <c r="E104" s="1">
        <f t="shared" si="6"/>
        <v>0.46388888888888896</v>
      </c>
    </row>
    <row r="105" spans="1:5" x14ac:dyDescent="0.3">
      <c r="A105" t="s">
        <v>3</v>
      </c>
      <c r="B105">
        <v>180</v>
      </c>
      <c r="C105" s="2">
        <f t="shared" si="5"/>
        <v>7.4000000000000736E-4</v>
      </c>
      <c r="D105">
        <v>2.6389999999999998</v>
      </c>
      <c r="E105" s="1">
        <f t="shared" si="6"/>
        <v>0.46527777777777785</v>
      </c>
    </row>
    <row r="106" spans="1:5" x14ac:dyDescent="0.3">
      <c r="A106" t="s">
        <v>74</v>
      </c>
      <c r="B106">
        <v>180</v>
      </c>
      <c r="C106" s="5">
        <f t="shared" si="5"/>
        <v>5.0499999999999992E-4</v>
      </c>
      <c r="D106">
        <v>2.2121</v>
      </c>
      <c r="E106" s="1">
        <f t="shared" si="6"/>
        <v>0.46597222222222229</v>
      </c>
    </row>
    <row r="107" spans="1:5" x14ac:dyDescent="0.3">
      <c r="A107" t="s">
        <v>75</v>
      </c>
      <c r="B107">
        <v>180</v>
      </c>
      <c r="C107" s="5">
        <f t="shared" si="5"/>
        <v>1.2149999999999882E-3</v>
      </c>
      <c r="D107">
        <v>2.2547000000000001</v>
      </c>
      <c r="E107" s="1">
        <f t="shared" si="6"/>
        <v>0.46666666666666673</v>
      </c>
    </row>
    <row r="108" spans="1:5" x14ac:dyDescent="0.3">
      <c r="A108" t="s">
        <v>76</v>
      </c>
      <c r="B108">
        <v>180</v>
      </c>
      <c r="C108" s="5">
        <f t="shared" si="5"/>
        <v>5.1999999999999822E-4</v>
      </c>
      <c r="D108">
        <v>1.4678</v>
      </c>
      <c r="E108" s="1">
        <f t="shared" si="6"/>
        <v>0.46736111111111117</v>
      </c>
    </row>
    <row r="109" spans="1:5" x14ac:dyDescent="0.3">
      <c r="A109" t="s">
        <v>77</v>
      </c>
      <c r="B109">
        <v>180</v>
      </c>
      <c r="C109" s="5">
        <f t="shared" si="5"/>
        <v>6.9500000000000117E-4</v>
      </c>
      <c r="D109">
        <v>2.0333000000000001</v>
      </c>
      <c r="E109" s="1">
        <f t="shared" si="6"/>
        <v>0.46875000000000006</v>
      </c>
    </row>
    <row r="110" spans="1:5" x14ac:dyDescent="0.3">
      <c r="A110" t="s">
        <v>78</v>
      </c>
      <c r="B110">
        <v>180</v>
      </c>
      <c r="C110" s="5">
        <f t="shared" si="5"/>
        <v>1.0400000000000075E-3</v>
      </c>
      <c r="D110">
        <v>1.4421999999999999</v>
      </c>
      <c r="E110" s="1">
        <f t="shared" si="6"/>
        <v>0.47083333333333338</v>
      </c>
    </row>
    <row r="111" spans="1:5" x14ac:dyDescent="0.3">
      <c r="A111" t="s">
        <v>79</v>
      </c>
      <c r="B111">
        <v>180</v>
      </c>
      <c r="C111" s="5">
        <f t="shared" si="5"/>
        <v>1.1550000000000061E-3</v>
      </c>
      <c r="D111">
        <v>1.2181999999999999</v>
      </c>
      <c r="E111" s="1">
        <f t="shared" si="6"/>
        <v>0.47222222222222227</v>
      </c>
    </row>
    <row r="112" spans="1:5" x14ac:dyDescent="0.3">
      <c r="A112" t="s">
        <v>70</v>
      </c>
      <c r="B112">
        <v>200</v>
      </c>
      <c r="C112" s="5">
        <f t="shared" si="5"/>
        <v>7.1499999999999895E-4</v>
      </c>
      <c r="D112">
        <v>2.1553</v>
      </c>
      <c r="E112" s="8">
        <f t="shared" si="6"/>
        <v>0.47569444444444453</v>
      </c>
    </row>
    <row r="113" spans="1:5" x14ac:dyDescent="0.3">
      <c r="A113" t="s">
        <v>71</v>
      </c>
      <c r="B113">
        <v>200</v>
      </c>
      <c r="C113" s="5">
        <f t="shared" si="5"/>
        <v>1.4499999999999958E-3</v>
      </c>
      <c r="D113">
        <v>2.907</v>
      </c>
      <c r="E113" s="1">
        <f t="shared" si="6"/>
        <v>0.47708333333333341</v>
      </c>
    </row>
    <row r="114" spans="1:5" x14ac:dyDescent="0.3">
      <c r="A114" t="s">
        <v>72</v>
      </c>
      <c r="B114">
        <v>200</v>
      </c>
      <c r="C114" s="5">
        <f t="shared" si="5"/>
        <v>6.750000000000034E-4</v>
      </c>
      <c r="D114">
        <v>2.1985999999999999</v>
      </c>
      <c r="E114" s="1">
        <f t="shared" si="6"/>
        <v>0.47777777777777786</v>
      </c>
    </row>
    <row r="115" spans="1:5" x14ac:dyDescent="0.3">
      <c r="A115" t="s">
        <v>3</v>
      </c>
      <c r="B115">
        <v>200</v>
      </c>
      <c r="C115" s="2">
        <f t="shared" si="5"/>
        <v>8.7499999999998137E-4</v>
      </c>
      <c r="D115">
        <v>2.6215000000000002</v>
      </c>
      <c r="E115" s="1">
        <f t="shared" si="6"/>
        <v>0.47916666666666674</v>
      </c>
    </row>
    <row r="116" spans="1:5" x14ac:dyDescent="0.3">
      <c r="A116" t="s">
        <v>74</v>
      </c>
      <c r="B116">
        <v>200</v>
      </c>
      <c r="C116" s="5">
        <f t="shared" si="5"/>
        <v>6.049999999999889E-4</v>
      </c>
      <c r="D116">
        <v>2.2000000000000002</v>
      </c>
      <c r="E116" s="1">
        <f t="shared" si="6"/>
        <v>0.47986111111111118</v>
      </c>
    </row>
    <row r="117" spans="1:5" x14ac:dyDescent="0.3">
      <c r="A117" t="s">
        <v>75</v>
      </c>
      <c r="B117">
        <v>200</v>
      </c>
      <c r="C117" s="5">
        <f t="shared" si="5"/>
        <v>1.3100000000000112E-3</v>
      </c>
      <c r="D117">
        <v>2.2284999999999999</v>
      </c>
      <c r="E117" s="1">
        <f t="shared" si="6"/>
        <v>0.48055555555555562</v>
      </c>
    </row>
    <row r="118" spans="1:5" x14ac:dyDescent="0.3">
      <c r="A118" t="s">
        <v>76</v>
      </c>
      <c r="B118">
        <v>200</v>
      </c>
      <c r="C118" s="5">
        <f t="shared" si="5"/>
        <v>5.7000000000000388E-4</v>
      </c>
      <c r="D118">
        <v>1.4563999999999999</v>
      </c>
      <c r="E118" s="1">
        <f t="shared" si="6"/>
        <v>0.48125000000000007</v>
      </c>
    </row>
    <row r="119" spans="1:5" x14ac:dyDescent="0.3">
      <c r="A119" t="s">
        <v>77</v>
      </c>
      <c r="B119">
        <v>200</v>
      </c>
      <c r="C119" s="5">
        <f t="shared" si="5"/>
        <v>7.8000000000000291E-4</v>
      </c>
      <c r="D119">
        <v>2.0177</v>
      </c>
      <c r="E119" s="1">
        <f t="shared" si="6"/>
        <v>0.48263888888888895</v>
      </c>
    </row>
    <row r="120" spans="1:5" x14ac:dyDescent="0.3">
      <c r="A120" t="s">
        <v>78</v>
      </c>
      <c r="B120">
        <v>200</v>
      </c>
      <c r="C120" s="5">
        <f t="shared" si="5"/>
        <v>1.0950000000000016E-3</v>
      </c>
      <c r="D120">
        <v>1.4202999999999999</v>
      </c>
      <c r="E120" s="1">
        <f t="shared" si="6"/>
        <v>0.48472222222222228</v>
      </c>
    </row>
    <row r="121" spans="1:5" x14ac:dyDescent="0.3">
      <c r="A121" t="s">
        <v>79</v>
      </c>
      <c r="B121">
        <v>200</v>
      </c>
      <c r="C121" s="5">
        <f t="shared" si="5"/>
        <v>1.0399999999999964E-3</v>
      </c>
      <c r="D121">
        <v>1.1974</v>
      </c>
      <c r="E121" s="1">
        <f t="shared" si="6"/>
        <v>0.48611111111111116</v>
      </c>
    </row>
    <row r="122" spans="1:5" x14ac:dyDescent="0.3">
      <c r="A122" t="s">
        <v>70</v>
      </c>
      <c r="B122">
        <v>220</v>
      </c>
      <c r="C122" s="2">
        <f t="shared" si="5"/>
        <v>6.5500000000000562E-4</v>
      </c>
      <c r="D122">
        <v>2.1421999999999999</v>
      </c>
      <c r="E122" s="8">
        <f t="shared" si="6"/>
        <v>0.48958333333333343</v>
      </c>
    </row>
    <row r="123" spans="1:5" x14ac:dyDescent="0.3">
      <c r="A123" t="s">
        <v>71</v>
      </c>
      <c r="B123">
        <v>220</v>
      </c>
      <c r="C123" s="5">
        <f t="shared" si="5"/>
        <v>1.3800000000000034E-3</v>
      </c>
      <c r="D123">
        <v>2.8794</v>
      </c>
      <c r="E123" s="1">
        <f t="shared" si="6"/>
        <v>0.49097222222222231</v>
      </c>
    </row>
    <row r="124" spans="1:5" x14ac:dyDescent="0.3">
      <c r="A124" t="s">
        <v>72</v>
      </c>
      <c r="B124">
        <v>220</v>
      </c>
      <c r="C124" s="2">
        <f t="shared" si="5"/>
        <v>6.6999999999999287E-4</v>
      </c>
      <c r="D124">
        <v>2.1852</v>
      </c>
      <c r="E124" s="1">
        <f t="shared" si="6"/>
        <v>0.49166666666666675</v>
      </c>
    </row>
    <row r="125" spans="1:5" x14ac:dyDescent="0.3">
      <c r="A125" t="s">
        <v>3</v>
      </c>
      <c r="B125">
        <v>220</v>
      </c>
      <c r="C125" s="2">
        <f t="shared" si="5"/>
        <v>7.9000000000000186E-4</v>
      </c>
      <c r="D125">
        <v>2.6057000000000001</v>
      </c>
      <c r="E125" s="1">
        <f t="shared" si="6"/>
        <v>0.49305555555555564</v>
      </c>
    </row>
    <row r="126" spans="1:5" x14ac:dyDescent="0.3">
      <c r="A126" t="s">
        <v>74</v>
      </c>
      <c r="B126">
        <v>220</v>
      </c>
      <c r="C126" s="5">
        <f t="shared" si="5"/>
        <v>5.7500000000001441E-4</v>
      </c>
      <c r="D126">
        <v>2.1884999999999999</v>
      </c>
      <c r="E126" s="1">
        <f t="shared" si="6"/>
        <v>0.49375000000000008</v>
      </c>
    </row>
    <row r="127" spans="1:5" x14ac:dyDescent="0.3">
      <c r="A127" t="s">
        <v>75</v>
      </c>
      <c r="B127">
        <v>220</v>
      </c>
      <c r="C127" s="5">
        <f t="shared" si="5"/>
        <v>1.2049999999999895E-3</v>
      </c>
      <c r="D127">
        <v>2.2044000000000001</v>
      </c>
      <c r="E127" s="1">
        <f t="shared" si="6"/>
        <v>0.49444444444444452</v>
      </c>
    </row>
    <row r="128" spans="1:5" x14ac:dyDescent="0.3">
      <c r="A128" t="s">
        <v>76</v>
      </c>
      <c r="B128">
        <v>220</v>
      </c>
      <c r="C128" s="5">
        <f t="shared" si="5"/>
        <v>5.2999999999999716E-4</v>
      </c>
      <c r="D128">
        <v>1.4458</v>
      </c>
      <c r="E128" s="1">
        <f t="shared" si="6"/>
        <v>0.49513888888888896</v>
      </c>
    </row>
    <row r="129" spans="1:5" x14ac:dyDescent="0.3">
      <c r="A129" t="s">
        <v>77</v>
      </c>
      <c r="B129">
        <v>220</v>
      </c>
      <c r="C129" s="5">
        <f t="shared" si="5"/>
        <v>6.9000000000001287E-4</v>
      </c>
      <c r="D129">
        <v>2.0038999999999998</v>
      </c>
      <c r="E129" s="1">
        <f t="shared" si="6"/>
        <v>0.49652777777777785</v>
      </c>
    </row>
    <row r="130" spans="1:5" x14ac:dyDescent="0.3">
      <c r="A130" t="s">
        <v>78</v>
      </c>
      <c r="B130">
        <v>220</v>
      </c>
      <c r="C130" s="5">
        <f t="shared" si="5"/>
        <v>1.0549999999999947E-3</v>
      </c>
      <c r="D130">
        <v>1.3992</v>
      </c>
      <c r="E130" s="1">
        <f t="shared" si="6"/>
        <v>0.49861111111111117</v>
      </c>
    </row>
    <row r="131" spans="1:5" x14ac:dyDescent="0.3">
      <c r="A131" t="s">
        <v>79</v>
      </c>
      <c r="B131">
        <v>220</v>
      </c>
      <c r="C131" s="5">
        <f t="shared" si="5"/>
        <v>1.0850000000000026E-3</v>
      </c>
      <c r="D131">
        <v>1.1757</v>
      </c>
      <c r="E131" s="1">
        <f t="shared" si="6"/>
        <v>0.5</v>
      </c>
    </row>
    <row r="132" spans="1:5" x14ac:dyDescent="0.3">
      <c r="A132" t="s">
        <v>70</v>
      </c>
      <c r="B132">
        <v>240</v>
      </c>
      <c r="C132" s="2">
        <f t="shared" si="5"/>
        <v>7.1499999999999895E-4</v>
      </c>
      <c r="D132">
        <v>2.1278999999999999</v>
      </c>
      <c r="E132" s="8">
        <f t="shared" si="6"/>
        <v>0.50347222222222232</v>
      </c>
    </row>
    <row r="133" spans="1:5" x14ac:dyDescent="0.3">
      <c r="A133" t="s">
        <v>71</v>
      </c>
      <c r="B133">
        <v>240</v>
      </c>
      <c r="C133" s="2">
        <f t="shared" si="5"/>
        <v>1.364999999999994E-3</v>
      </c>
      <c r="D133">
        <v>2.8521000000000001</v>
      </c>
      <c r="E133" s="1">
        <f t="shared" si="6"/>
        <v>0.5048611111111112</v>
      </c>
    </row>
    <row r="134" spans="1:5" x14ac:dyDescent="0.3">
      <c r="A134" t="s">
        <v>72</v>
      </c>
      <c r="B134">
        <v>240</v>
      </c>
      <c r="C134" s="2">
        <f t="shared" si="5"/>
        <v>6.3999999999999615E-4</v>
      </c>
      <c r="D134">
        <v>2.1724000000000001</v>
      </c>
      <c r="E134" s="1">
        <f t="shared" si="6"/>
        <v>0.50555555555555565</v>
      </c>
    </row>
    <row r="135" spans="1:5" x14ac:dyDescent="0.3">
      <c r="A135" t="s">
        <v>3</v>
      </c>
      <c r="B135">
        <v>240</v>
      </c>
      <c r="C135" s="2">
        <f t="shared" si="5"/>
        <v>8.6000000000001635E-4</v>
      </c>
      <c r="D135">
        <v>2.5884999999999998</v>
      </c>
      <c r="E135" s="1">
        <f t="shared" si="6"/>
        <v>0.50694444444444453</v>
      </c>
    </row>
    <row r="136" spans="1:5" x14ac:dyDescent="0.3">
      <c r="A136" t="s">
        <v>74</v>
      </c>
      <c r="B136">
        <v>240</v>
      </c>
      <c r="C136" s="2">
        <f t="shared" si="5"/>
        <v>5.6000000000000494E-4</v>
      </c>
      <c r="D136">
        <v>2.1772999999999998</v>
      </c>
      <c r="E136" s="1">
        <f t="shared" si="6"/>
        <v>0.50763888888888897</v>
      </c>
    </row>
    <row r="137" spans="1:5" x14ac:dyDescent="0.3">
      <c r="A137" t="s">
        <v>75</v>
      </c>
      <c r="B137">
        <v>240</v>
      </c>
      <c r="C137" s="2">
        <f t="shared" si="5"/>
        <v>1.2650000000000051E-3</v>
      </c>
      <c r="D137">
        <v>2.1791</v>
      </c>
      <c r="E137" s="1">
        <f t="shared" si="6"/>
        <v>0.50833333333333341</v>
      </c>
    </row>
    <row r="138" spans="1:5" x14ac:dyDescent="0.3">
      <c r="A138" t="s">
        <v>76</v>
      </c>
      <c r="B138">
        <v>240</v>
      </c>
      <c r="C138" s="9">
        <f t="shared" si="5"/>
        <v>5.3499999999999663E-4</v>
      </c>
      <c r="D138">
        <v>1.4351</v>
      </c>
      <c r="E138" s="1">
        <f t="shared" si="6"/>
        <v>0.50902777777777786</v>
      </c>
    </row>
    <row r="139" spans="1:5" x14ac:dyDescent="0.3">
      <c r="A139" t="s">
        <v>77</v>
      </c>
      <c r="B139">
        <v>240</v>
      </c>
      <c r="C139" s="5">
        <f t="shared" si="5"/>
        <v>6.649999999999934E-4</v>
      </c>
      <c r="D139">
        <v>1.9905999999999999</v>
      </c>
      <c r="E139" s="1">
        <f t="shared" si="6"/>
        <v>0.51041666666666674</v>
      </c>
    </row>
    <row r="140" spans="1:5" x14ac:dyDescent="0.3">
      <c r="A140" t="s">
        <v>78</v>
      </c>
      <c r="B140">
        <v>240</v>
      </c>
      <c r="C140" s="5">
        <f t="shared" si="5"/>
        <v>1.0149999999999992E-3</v>
      </c>
      <c r="D140">
        <v>1.3789</v>
      </c>
      <c r="E140" s="1">
        <f t="shared" si="6"/>
        <v>0.51250000000000007</v>
      </c>
    </row>
    <row r="141" spans="1:5" x14ac:dyDescent="0.3">
      <c r="A141" t="s">
        <v>79</v>
      </c>
      <c r="B141">
        <v>240</v>
      </c>
      <c r="C141" s="5">
        <f t="shared" si="5"/>
        <v>1.0050000000000003E-3</v>
      </c>
      <c r="D141">
        <v>1.1556</v>
      </c>
      <c r="E141" s="1">
        <f t="shared" si="6"/>
        <v>0.51388888888888884</v>
      </c>
    </row>
    <row r="142" spans="1:5" x14ac:dyDescent="0.3">
      <c r="A142" t="s">
        <v>70</v>
      </c>
      <c r="B142">
        <v>260</v>
      </c>
      <c r="C142" s="2">
        <f t="shared" si="5"/>
        <v>6.3499999999998562E-4</v>
      </c>
      <c r="D142">
        <v>2.1152000000000002</v>
      </c>
      <c r="E142" s="1">
        <f t="shared" si="6"/>
        <v>0.51736111111111116</v>
      </c>
    </row>
    <row r="143" spans="1:5" x14ac:dyDescent="0.3">
      <c r="A143" t="s">
        <v>71</v>
      </c>
      <c r="B143">
        <v>260</v>
      </c>
      <c r="C143" s="2">
        <f t="shared" si="5"/>
        <v>1.3500000000000068E-3</v>
      </c>
      <c r="D143">
        <v>2.8250999999999999</v>
      </c>
      <c r="E143" s="1">
        <f t="shared" si="6"/>
        <v>0.51875000000000004</v>
      </c>
    </row>
    <row r="144" spans="1:5" x14ac:dyDescent="0.3">
      <c r="A144" t="s">
        <v>72</v>
      </c>
      <c r="B144">
        <v>260</v>
      </c>
      <c r="C144" s="2">
        <f t="shared" si="5"/>
        <v>6.1999999999999837E-4</v>
      </c>
      <c r="D144">
        <v>2.16</v>
      </c>
      <c r="E144" s="1">
        <f t="shared" si="6"/>
        <v>0.51944444444444449</v>
      </c>
    </row>
    <row r="145" spans="1:5" x14ac:dyDescent="0.3">
      <c r="A145" t="s">
        <v>3</v>
      </c>
      <c r="B145">
        <v>260</v>
      </c>
      <c r="C145" s="2">
        <f t="shared" si="5"/>
        <v>8.3999999999999635E-4</v>
      </c>
      <c r="D145">
        <v>2.5716999999999999</v>
      </c>
      <c r="E145" s="1">
        <f t="shared" si="6"/>
        <v>0.52083333333333337</v>
      </c>
    </row>
    <row r="146" spans="1:5" x14ac:dyDescent="0.3">
      <c r="A146" t="s">
        <v>74</v>
      </c>
      <c r="B146">
        <v>260</v>
      </c>
      <c r="C146" s="2">
        <f t="shared" si="5"/>
        <v>6.0999999999999943E-4</v>
      </c>
      <c r="D146">
        <v>2.1650999999999998</v>
      </c>
      <c r="E146" s="1">
        <f t="shared" si="6"/>
        <v>0.52152777777777781</v>
      </c>
    </row>
    <row r="147" spans="1:5" x14ac:dyDescent="0.3">
      <c r="A147" t="s">
        <v>75</v>
      </c>
      <c r="B147">
        <v>260</v>
      </c>
      <c r="C147" s="2">
        <f t="shared" si="5"/>
        <v>1.2450000000000072E-3</v>
      </c>
      <c r="D147">
        <v>2.1541999999999999</v>
      </c>
      <c r="E147" s="1">
        <f t="shared" si="6"/>
        <v>0.52222222222222225</v>
      </c>
    </row>
    <row r="148" spans="1:5" x14ac:dyDescent="0.3">
      <c r="A148" t="s">
        <v>76</v>
      </c>
      <c r="B148">
        <v>260</v>
      </c>
      <c r="C148" s="9">
        <f t="shared" si="5"/>
        <v>5.2499999999999769E-4</v>
      </c>
      <c r="D148">
        <v>1.4246000000000001</v>
      </c>
      <c r="E148" s="1">
        <f t="shared" si="6"/>
        <v>0.5229166666666667</v>
      </c>
    </row>
    <row r="149" spans="1:5" x14ac:dyDescent="0.3">
      <c r="A149" t="s">
        <v>77</v>
      </c>
      <c r="B149">
        <v>260</v>
      </c>
      <c r="C149" s="5">
        <f t="shared" si="5"/>
        <v>6.2999999999999721E-4</v>
      </c>
      <c r="D149">
        <v>1.978</v>
      </c>
      <c r="E149" s="1">
        <f t="shared" si="6"/>
        <v>0.52430555555555558</v>
      </c>
    </row>
    <row r="150" spans="1:5" x14ac:dyDescent="0.3">
      <c r="A150" t="s">
        <v>78</v>
      </c>
      <c r="B150">
        <v>260</v>
      </c>
      <c r="C150" s="5">
        <f t="shared" si="5"/>
        <v>1.0299999999999975E-3</v>
      </c>
      <c r="D150">
        <v>1.3583000000000001</v>
      </c>
      <c r="E150" s="1">
        <f t="shared" si="6"/>
        <v>0.52638888888888891</v>
      </c>
    </row>
    <row r="151" spans="1:5" x14ac:dyDescent="0.3">
      <c r="A151" t="s">
        <v>79</v>
      </c>
      <c r="B151">
        <v>260</v>
      </c>
      <c r="C151" s="5">
        <f t="shared" ref="C151" si="7">(D141-D151)/20</f>
        <v>9.8500000000000258E-4</v>
      </c>
      <c r="D151">
        <v>1.1358999999999999</v>
      </c>
      <c r="E151" s="1">
        <f t="shared" si="6"/>
        <v>0.52777777777777768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4335-0762-4039-9ED4-7FA443C60A84}">
  <dimension ref="A1:E120"/>
  <sheetViews>
    <sheetView workbookViewId="0">
      <selection activeCell="E8" sqref="E8"/>
    </sheetView>
  </sheetViews>
  <sheetFormatPr baseColWidth="10" defaultRowHeight="14.4" x14ac:dyDescent="0.3"/>
  <sheetData>
    <row r="1" spans="1:5" x14ac:dyDescent="0.3">
      <c r="A1" t="s">
        <v>0</v>
      </c>
      <c r="B1" t="s">
        <v>21</v>
      </c>
      <c r="C1" t="s">
        <v>22</v>
      </c>
      <c r="D1" t="s">
        <v>50</v>
      </c>
    </row>
    <row r="2" spans="1:5" x14ac:dyDescent="0.3">
      <c r="A2" t="s">
        <v>62</v>
      </c>
      <c r="C2" t="s">
        <v>69</v>
      </c>
      <c r="D2">
        <v>2.9382000000000001</v>
      </c>
      <c r="E2" s="1">
        <v>0.32777777777777778</v>
      </c>
    </row>
    <row r="3" spans="1:5" x14ac:dyDescent="0.3">
      <c r="A3" t="s">
        <v>63</v>
      </c>
      <c r="D3">
        <v>1.6322000000000001</v>
      </c>
      <c r="E3" s="1">
        <v>0.32916666666666666</v>
      </c>
    </row>
    <row r="4" spans="1:5" x14ac:dyDescent="0.3">
      <c r="A4" t="s">
        <v>64</v>
      </c>
      <c r="D4">
        <v>2.1202999999999999</v>
      </c>
      <c r="E4" s="1">
        <v>0.33055555555555555</v>
      </c>
    </row>
    <row r="5" spans="1:5" x14ac:dyDescent="0.3">
      <c r="A5" t="s">
        <v>65</v>
      </c>
      <c r="D5">
        <v>1.9597</v>
      </c>
      <c r="E5" s="1">
        <v>0.33194444444444443</v>
      </c>
    </row>
    <row r="6" spans="1:5" x14ac:dyDescent="0.3">
      <c r="A6" t="s">
        <v>66</v>
      </c>
      <c r="D6">
        <v>0.88829999999999998</v>
      </c>
      <c r="E6" s="1">
        <v>0.33333333333333331</v>
      </c>
    </row>
    <row r="7" spans="1:5" x14ac:dyDescent="0.3">
      <c r="A7" t="s">
        <v>67</v>
      </c>
      <c r="D7">
        <v>3.7389999999999999</v>
      </c>
      <c r="E7" s="1">
        <v>0.3347222222222222</v>
      </c>
    </row>
    <row r="8" spans="1:5" x14ac:dyDescent="0.3">
      <c r="A8" t="s">
        <v>68</v>
      </c>
      <c r="D8">
        <v>1.7231000000000001</v>
      </c>
      <c r="E8" s="1">
        <v>0.33611111111111114</v>
      </c>
    </row>
    <row r="9" spans="1:5" x14ac:dyDescent="0.3">
      <c r="A9" t="s">
        <v>62</v>
      </c>
      <c r="B9">
        <v>0</v>
      </c>
      <c r="C9">
        <v>0</v>
      </c>
      <c r="D9">
        <v>2.9005999999999998</v>
      </c>
      <c r="E9" s="1">
        <f>E2+(15/1440)</f>
        <v>0.33819444444444446</v>
      </c>
    </row>
    <row r="10" spans="1:5" x14ac:dyDescent="0.3">
      <c r="A10" t="s">
        <v>63</v>
      </c>
      <c r="B10">
        <v>0</v>
      </c>
      <c r="C10">
        <v>0</v>
      </c>
      <c r="D10">
        <v>1.6086</v>
      </c>
      <c r="E10" s="1">
        <f t="shared" ref="E10:E14" si="0">E3+(15/1440)</f>
        <v>0.33958333333333335</v>
      </c>
    </row>
    <row r="11" spans="1:5" x14ac:dyDescent="0.3">
      <c r="A11" t="s">
        <v>64</v>
      </c>
      <c r="B11">
        <v>0</v>
      </c>
      <c r="C11">
        <v>0</v>
      </c>
      <c r="D11">
        <v>2.0996000000000001</v>
      </c>
      <c r="E11" s="1">
        <f t="shared" si="0"/>
        <v>0.34097222222222223</v>
      </c>
    </row>
    <row r="12" spans="1:5" x14ac:dyDescent="0.3">
      <c r="A12" t="s">
        <v>65</v>
      </c>
      <c r="B12">
        <v>0</v>
      </c>
      <c r="C12">
        <v>0</v>
      </c>
      <c r="D12">
        <v>1.9391</v>
      </c>
      <c r="E12" s="1">
        <f t="shared" si="0"/>
        <v>0.34236111111111112</v>
      </c>
    </row>
    <row r="13" spans="1:5" x14ac:dyDescent="0.3">
      <c r="A13" t="s">
        <v>66</v>
      </c>
      <c r="B13">
        <v>0</v>
      </c>
      <c r="C13">
        <v>0</v>
      </c>
      <c r="D13">
        <v>0.87639999999999996</v>
      </c>
      <c r="E13" s="1">
        <f t="shared" si="0"/>
        <v>0.34375</v>
      </c>
    </row>
    <row r="14" spans="1:5" x14ac:dyDescent="0.3">
      <c r="A14" t="s">
        <v>67</v>
      </c>
      <c r="B14">
        <v>0</v>
      </c>
      <c r="C14">
        <v>0</v>
      </c>
      <c r="D14">
        <v>3.7204000000000002</v>
      </c>
      <c r="E14" s="1">
        <f t="shared" si="0"/>
        <v>0.34513888888888888</v>
      </c>
    </row>
    <row r="15" spans="1:5" x14ac:dyDescent="0.3">
      <c r="A15" t="s">
        <v>68</v>
      </c>
      <c r="B15">
        <v>0</v>
      </c>
      <c r="C15">
        <v>0</v>
      </c>
      <c r="D15">
        <v>1.696</v>
      </c>
      <c r="E15" s="1">
        <f>E8+(15/1440)</f>
        <v>0.34652777777777782</v>
      </c>
    </row>
    <row r="16" spans="1:5" x14ac:dyDescent="0.3">
      <c r="A16" t="s">
        <v>62</v>
      </c>
      <c r="B16">
        <v>20</v>
      </c>
      <c r="C16" s="2">
        <f>(D9-D16)/20</f>
        <v>2.1050000000000014E-3</v>
      </c>
      <c r="D16">
        <v>2.8584999999999998</v>
      </c>
      <c r="E16" s="1">
        <f t="shared" ref="E16:E79" si="1">E9+(20/1440)</f>
        <v>0.35208333333333336</v>
      </c>
    </row>
    <row r="17" spans="1:5" x14ac:dyDescent="0.3">
      <c r="A17" t="s">
        <v>63</v>
      </c>
      <c r="B17">
        <v>20</v>
      </c>
      <c r="C17" s="2">
        <f t="shared" ref="C17:C80" si="2">(D10-D17)/20</f>
        <v>1.200000000000001E-3</v>
      </c>
      <c r="D17">
        <v>1.5846</v>
      </c>
      <c r="E17" s="1">
        <f t="shared" si="1"/>
        <v>0.35347222222222224</v>
      </c>
    </row>
    <row r="18" spans="1:5" x14ac:dyDescent="0.3">
      <c r="A18" t="s">
        <v>64</v>
      </c>
      <c r="B18">
        <v>20</v>
      </c>
      <c r="C18" s="2">
        <f t="shared" si="2"/>
        <v>1.100000000000012E-3</v>
      </c>
      <c r="D18">
        <v>2.0775999999999999</v>
      </c>
      <c r="E18" s="1">
        <f t="shared" si="1"/>
        <v>0.35486111111111113</v>
      </c>
    </row>
    <row r="19" spans="1:5" x14ac:dyDescent="0.3">
      <c r="A19" t="s">
        <v>65</v>
      </c>
      <c r="B19">
        <v>20</v>
      </c>
      <c r="C19" s="2">
        <f t="shared" si="2"/>
        <v>9.0500000000000021E-4</v>
      </c>
      <c r="D19">
        <v>1.921</v>
      </c>
      <c r="E19" s="1">
        <f t="shared" si="1"/>
        <v>0.35625000000000001</v>
      </c>
    </row>
    <row r="20" spans="1:5" x14ac:dyDescent="0.3">
      <c r="A20" t="s">
        <v>66</v>
      </c>
      <c r="B20">
        <v>20</v>
      </c>
      <c r="C20" s="2">
        <f t="shared" si="2"/>
        <v>4.7499999999999767E-4</v>
      </c>
      <c r="D20">
        <v>0.8669</v>
      </c>
      <c r="E20" s="1">
        <f t="shared" si="1"/>
        <v>0.3576388888888889</v>
      </c>
    </row>
    <row r="21" spans="1:5" x14ac:dyDescent="0.3">
      <c r="A21" t="s">
        <v>67</v>
      </c>
      <c r="B21">
        <v>20</v>
      </c>
      <c r="C21" s="2">
        <f t="shared" si="2"/>
        <v>1.0350000000000081E-3</v>
      </c>
      <c r="D21">
        <v>3.6997</v>
      </c>
      <c r="E21" s="1">
        <f t="shared" si="1"/>
        <v>0.35902777777777778</v>
      </c>
    </row>
    <row r="22" spans="1:5" x14ac:dyDescent="0.3">
      <c r="A22" t="s">
        <v>68</v>
      </c>
      <c r="B22">
        <v>20</v>
      </c>
      <c r="C22" s="2">
        <f t="shared" si="2"/>
        <v>1.1749999999999927E-3</v>
      </c>
      <c r="D22">
        <v>1.6725000000000001</v>
      </c>
      <c r="E22" s="1">
        <f t="shared" si="1"/>
        <v>0.36041666666666672</v>
      </c>
    </row>
    <row r="23" spans="1:5" x14ac:dyDescent="0.3">
      <c r="A23" t="s">
        <v>62</v>
      </c>
      <c r="B23">
        <v>40</v>
      </c>
      <c r="C23" s="2">
        <f t="shared" si="2"/>
        <v>1.9099999999999894E-3</v>
      </c>
      <c r="D23">
        <v>2.8203</v>
      </c>
      <c r="E23" s="1">
        <f t="shared" si="1"/>
        <v>0.36597222222222225</v>
      </c>
    </row>
    <row r="24" spans="1:5" x14ac:dyDescent="0.3">
      <c r="A24" t="s">
        <v>63</v>
      </c>
      <c r="B24">
        <v>40</v>
      </c>
      <c r="C24" s="2">
        <f t="shared" si="2"/>
        <v>1.1900000000000023E-3</v>
      </c>
      <c r="D24">
        <v>1.5608</v>
      </c>
      <c r="E24" s="1">
        <f t="shared" si="1"/>
        <v>0.36736111111111114</v>
      </c>
    </row>
    <row r="25" spans="1:5" x14ac:dyDescent="0.3">
      <c r="A25" t="s">
        <v>64</v>
      </c>
      <c r="B25">
        <v>40</v>
      </c>
      <c r="C25" s="2">
        <f t="shared" si="2"/>
        <v>1.0449999999999847E-3</v>
      </c>
      <c r="D25">
        <v>2.0567000000000002</v>
      </c>
      <c r="E25" s="1">
        <f t="shared" si="1"/>
        <v>0.36875000000000002</v>
      </c>
    </row>
    <row r="26" spans="1:5" x14ac:dyDescent="0.3">
      <c r="A26" t="s">
        <v>65</v>
      </c>
      <c r="B26">
        <v>40</v>
      </c>
      <c r="C26" s="2">
        <f t="shared" si="2"/>
        <v>9.7000000000000417E-4</v>
      </c>
      <c r="D26">
        <v>1.9016</v>
      </c>
      <c r="E26" s="1">
        <f t="shared" si="1"/>
        <v>0.37013888888888891</v>
      </c>
    </row>
    <row r="27" spans="1:5" x14ac:dyDescent="0.3">
      <c r="A27" t="s">
        <v>66</v>
      </c>
      <c r="B27">
        <v>40</v>
      </c>
      <c r="C27" s="2">
        <f t="shared" si="2"/>
        <v>4.8500000000000209E-4</v>
      </c>
      <c r="D27">
        <v>0.85719999999999996</v>
      </c>
      <c r="E27" s="1">
        <f t="shared" si="1"/>
        <v>0.37152777777777779</v>
      </c>
    </row>
    <row r="28" spans="1:5" x14ac:dyDescent="0.3">
      <c r="A28" t="s">
        <v>67</v>
      </c>
      <c r="B28">
        <v>40</v>
      </c>
      <c r="C28" s="2">
        <f t="shared" si="2"/>
        <v>9.7000000000000417E-4</v>
      </c>
      <c r="D28">
        <v>3.6802999999999999</v>
      </c>
      <c r="E28" s="1">
        <f t="shared" si="1"/>
        <v>0.37291666666666667</v>
      </c>
    </row>
    <row r="29" spans="1:5" x14ac:dyDescent="0.3">
      <c r="A29" t="s">
        <v>68</v>
      </c>
      <c r="B29">
        <v>40</v>
      </c>
      <c r="C29" s="2">
        <f t="shared" si="2"/>
        <v>1.1500000000000065E-3</v>
      </c>
      <c r="D29">
        <v>1.6495</v>
      </c>
      <c r="E29" s="1">
        <f t="shared" si="1"/>
        <v>0.37430555555555561</v>
      </c>
    </row>
    <row r="30" spans="1:5" x14ac:dyDescent="0.3">
      <c r="A30" t="s">
        <v>62</v>
      </c>
      <c r="B30">
        <v>60</v>
      </c>
      <c r="C30" s="2">
        <f t="shared" si="2"/>
        <v>2.0050000000000124E-3</v>
      </c>
      <c r="D30">
        <v>2.7801999999999998</v>
      </c>
      <c r="E30" s="1">
        <f t="shared" si="1"/>
        <v>0.37986111111111115</v>
      </c>
    </row>
    <row r="31" spans="1:5" x14ac:dyDescent="0.3">
      <c r="A31" t="s">
        <v>63</v>
      </c>
      <c r="B31">
        <v>60</v>
      </c>
      <c r="C31" s="2">
        <f t="shared" si="2"/>
        <v>1.1349999999999971E-3</v>
      </c>
      <c r="D31">
        <v>1.5381</v>
      </c>
      <c r="E31" s="1">
        <f t="shared" si="1"/>
        <v>0.38125000000000003</v>
      </c>
    </row>
    <row r="32" spans="1:5" x14ac:dyDescent="0.3">
      <c r="A32" t="s">
        <v>64</v>
      </c>
      <c r="B32">
        <v>60</v>
      </c>
      <c r="C32" s="2">
        <f t="shared" si="2"/>
        <v>1.1800000000000033E-3</v>
      </c>
      <c r="D32">
        <v>2.0331000000000001</v>
      </c>
      <c r="E32" s="1">
        <f t="shared" si="1"/>
        <v>0.38263888888888892</v>
      </c>
    </row>
    <row r="33" spans="1:5" x14ac:dyDescent="0.3">
      <c r="A33" t="s">
        <v>65</v>
      </c>
      <c r="B33">
        <v>60</v>
      </c>
      <c r="C33" s="2">
        <f t="shared" si="2"/>
        <v>9.2999999999999745E-4</v>
      </c>
      <c r="D33">
        <v>1.883</v>
      </c>
      <c r="E33" s="1">
        <f t="shared" si="1"/>
        <v>0.3840277777777778</v>
      </c>
    </row>
    <row r="34" spans="1:5" x14ac:dyDescent="0.3">
      <c r="A34" t="s">
        <v>66</v>
      </c>
      <c r="B34">
        <v>60</v>
      </c>
      <c r="C34" s="2">
        <f t="shared" si="2"/>
        <v>4.6499999999999873E-4</v>
      </c>
      <c r="D34">
        <v>0.84789999999999999</v>
      </c>
      <c r="E34" s="1">
        <f t="shared" si="1"/>
        <v>0.38541666666666669</v>
      </c>
    </row>
    <row r="35" spans="1:5" x14ac:dyDescent="0.3">
      <c r="A35" t="s">
        <v>67</v>
      </c>
      <c r="B35">
        <v>60</v>
      </c>
      <c r="C35" s="2">
        <f t="shared" si="2"/>
        <v>1.0149999999999881E-3</v>
      </c>
      <c r="D35">
        <v>3.66</v>
      </c>
      <c r="E35" s="1">
        <f t="shared" si="1"/>
        <v>0.38680555555555557</v>
      </c>
    </row>
    <row r="36" spans="1:5" x14ac:dyDescent="0.3">
      <c r="A36" t="s">
        <v>68</v>
      </c>
      <c r="B36">
        <v>60</v>
      </c>
      <c r="C36" s="2">
        <f t="shared" si="2"/>
        <v>1.1199999999999988E-3</v>
      </c>
      <c r="D36">
        <v>1.6271</v>
      </c>
      <c r="E36" s="1">
        <f t="shared" si="1"/>
        <v>0.38819444444444451</v>
      </c>
    </row>
    <row r="37" spans="1:5" x14ac:dyDescent="0.3">
      <c r="A37" t="s">
        <v>62</v>
      </c>
      <c r="B37">
        <v>80</v>
      </c>
      <c r="C37" s="2">
        <f t="shared" si="2"/>
        <v>1.6599999999999948E-3</v>
      </c>
      <c r="D37">
        <v>2.7469999999999999</v>
      </c>
      <c r="E37" s="1">
        <f t="shared" si="1"/>
        <v>0.39375000000000004</v>
      </c>
    </row>
    <row r="38" spans="1:5" x14ac:dyDescent="0.3">
      <c r="A38" t="s">
        <v>63</v>
      </c>
      <c r="B38">
        <v>80</v>
      </c>
      <c r="C38" s="2">
        <f t="shared" si="2"/>
        <v>1.0349999999999971E-3</v>
      </c>
      <c r="D38">
        <v>1.5174000000000001</v>
      </c>
      <c r="E38" s="1">
        <f t="shared" si="1"/>
        <v>0.39513888888888893</v>
      </c>
    </row>
    <row r="39" spans="1:5" x14ac:dyDescent="0.3">
      <c r="A39" t="s">
        <v>64</v>
      </c>
      <c r="B39">
        <v>80</v>
      </c>
      <c r="C39" s="2">
        <f t="shared" si="2"/>
        <v>1.3050000000000006E-3</v>
      </c>
      <c r="D39">
        <v>2.0070000000000001</v>
      </c>
      <c r="E39" s="1">
        <f t="shared" si="1"/>
        <v>0.39652777777777781</v>
      </c>
    </row>
    <row r="40" spans="1:5" x14ac:dyDescent="0.3">
      <c r="A40" t="s">
        <v>65</v>
      </c>
      <c r="B40">
        <v>80</v>
      </c>
      <c r="C40" s="2">
        <f t="shared" si="2"/>
        <v>9.7000000000000417E-4</v>
      </c>
      <c r="D40">
        <v>1.8635999999999999</v>
      </c>
      <c r="E40" s="1">
        <f t="shared" si="1"/>
        <v>0.3979166666666667</v>
      </c>
    </row>
    <row r="41" spans="1:5" x14ac:dyDescent="0.3">
      <c r="A41" t="s">
        <v>66</v>
      </c>
      <c r="B41">
        <v>80</v>
      </c>
      <c r="C41" s="2">
        <f t="shared" si="2"/>
        <v>4.149999999999987E-4</v>
      </c>
      <c r="D41">
        <v>0.83960000000000001</v>
      </c>
      <c r="E41" s="1">
        <f t="shared" si="1"/>
        <v>0.39930555555555558</v>
      </c>
    </row>
    <row r="42" spans="1:5" x14ac:dyDescent="0.3">
      <c r="A42" t="s">
        <v>67</v>
      </c>
      <c r="B42">
        <v>80</v>
      </c>
      <c r="C42" s="2">
        <f t="shared" si="2"/>
        <v>9.5000000000000639E-4</v>
      </c>
      <c r="D42">
        <v>3.641</v>
      </c>
      <c r="E42" s="1">
        <f t="shared" si="1"/>
        <v>0.40069444444444446</v>
      </c>
    </row>
    <row r="43" spans="1:5" x14ac:dyDescent="0.3">
      <c r="A43" t="s">
        <v>68</v>
      </c>
      <c r="B43">
        <v>80</v>
      </c>
      <c r="C43" s="2">
        <f t="shared" si="2"/>
        <v>1.0299999999999975E-3</v>
      </c>
      <c r="D43">
        <v>1.6065</v>
      </c>
      <c r="E43" s="1">
        <f>E36+(20/1440)</f>
        <v>0.4020833333333334</v>
      </c>
    </row>
    <row r="44" spans="1:5" x14ac:dyDescent="0.3">
      <c r="A44" t="s">
        <v>62</v>
      </c>
      <c r="B44">
        <v>100</v>
      </c>
      <c r="C44" s="2">
        <f t="shared" si="2"/>
        <v>1.7700000000000049E-3</v>
      </c>
      <c r="D44">
        <v>2.7115999999999998</v>
      </c>
      <c r="E44" s="1">
        <f t="shared" si="1"/>
        <v>0.40763888888888894</v>
      </c>
    </row>
    <row r="45" spans="1:5" x14ac:dyDescent="0.3">
      <c r="A45" t="s">
        <v>63</v>
      </c>
      <c r="B45">
        <v>100</v>
      </c>
      <c r="C45" s="2">
        <f t="shared" si="2"/>
        <v>9.650000000000047E-4</v>
      </c>
      <c r="D45">
        <v>1.4981</v>
      </c>
      <c r="E45" s="1">
        <f t="shared" si="1"/>
        <v>0.40902777777777782</v>
      </c>
    </row>
    <row r="46" spans="1:5" x14ac:dyDescent="0.3">
      <c r="A46" t="s">
        <v>64</v>
      </c>
      <c r="B46">
        <v>100</v>
      </c>
      <c r="C46" s="2">
        <f t="shared" si="2"/>
        <v>1.3000000000000012E-3</v>
      </c>
      <c r="D46">
        <v>1.9810000000000001</v>
      </c>
      <c r="E46" s="1">
        <f t="shared" si="1"/>
        <v>0.41041666666666671</v>
      </c>
    </row>
    <row r="47" spans="1:5" x14ac:dyDescent="0.3">
      <c r="A47" t="s">
        <v>65</v>
      </c>
      <c r="B47">
        <v>100</v>
      </c>
      <c r="C47" s="2">
        <f t="shared" si="2"/>
        <v>8.5999999999999412E-4</v>
      </c>
      <c r="D47">
        <v>1.8464</v>
      </c>
      <c r="E47" s="1">
        <f t="shared" si="1"/>
        <v>0.41180555555555559</v>
      </c>
    </row>
    <row r="48" spans="1:5" x14ac:dyDescent="0.3">
      <c r="A48" t="s">
        <v>66</v>
      </c>
      <c r="B48">
        <v>100</v>
      </c>
      <c r="C48" s="2">
        <f t="shared" si="2"/>
        <v>5.2500000000000322E-4</v>
      </c>
      <c r="D48">
        <v>0.82909999999999995</v>
      </c>
      <c r="E48" s="1">
        <f t="shared" si="1"/>
        <v>0.41319444444444448</v>
      </c>
    </row>
    <row r="49" spans="1:5" x14ac:dyDescent="0.3">
      <c r="A49" t="s">
        <v>67</v>
      </c>
      <c r="B49">
        <v>100</v>
      </c>
      <c r="C49" s="2">
        <f t="shared" si="2"/>
        <v>8.750000000000036E-4</v>
      </c>
      <c r="D49">
        <v>3.6234999999999999</v>
      </c>
      <c r="E49" s="1">
        <f t="shared" si="1"/>
        <v>0.41458333333333336</v>
      </c>
    </row>
    <row r="50" spans="1:5" x14ac:dyDescent="0.3">
      <c r="A50" t="s">
        <v>68</v>
      </c>
      <c r="B50">
        <v>100</v>
      </c>
      <c r="C50" s="2">
        <f t="shared" si="2"/>
        <v>1.0399999999999964E-3</v>
      </c>
      <c r="D50">
        <v>1.5857000000000001</v>
      </c>
      <c r="E50" s="1">
        <f t="shared" si="1"/>
        <v>0.4159722222222223</v>
      </c>
    </row>
    <row r="51" spans="1:5" x14ac:dyDescent="0.3">
      <c r="A51" t="s">
        <v>62</v>
      </c>
      <c r="B51">
        <v>120</v>
      </c>
      <c r="C51" s="2">
        <f t="shared" si="2"/>
        <v>1.6299999999999982E-3</v>
      </c>
      <c r="D51">
        <v>2.6789999999999998</v>
      </c>
      <c r="E51" s="1">
        <f t="shared" si="1"/>
        <v>0.42152777777777783</v>
      </c>
    </row>
    <row r="52" spans="1:5" x14ac:dyDescent="0.3">
      <c r="A52" t="s">
        <v>63</v>
      </c>
      <c r="B52">
        <v>120</v>
      </c>
      <c r="C52" s="2">
        <f t="shared" si="2"/>
        <v>1.0199999999999988E-3</v>
      </c>
      <c r="D52">
        <v>1.4777</v>
      </c>
      <c r="E52" s="1">
        <f t="shared" si="1"/>
        <v>0.42291666666666672</v>
      </c>
    </row>
    <row r="53" spans="1:5" x14ac:dyDescent="0.3">
      <c r="A53" t="s">
        <v>64</v>
      </c>
      <c r="B53">
        <v>120</v>
      </c>
      <c r="C53" s="2">
        <f t="shared" si="2"/>
        <v>1.2450000000000072E-3</v>
      </c>
      <c r="D53">
        <v>1.9560999999999999</v>
      </c>
      <c r="E53" s="1">
        <f t="shared" si="1"/>
        <v>0.4243055555555556</v>
      </c>
    </row>
    <row r="54" spans="1:5" x14ac:dyDescent="0.3">
      <c r="A54" t="s">
        <v>65</v>
      </c>
      <c r="B54">
        <v>120</v>
      </c>
      <c r="C54" s="2">
        <f t="shared" si="2"/>
        <v>8.8000000000000296E-4</v>
      </c>
      <c r="D54">
        <v>1.8288</v>
      </c>
      <c r="E54" s="1">
        <f t="shared" si="1"/>
        <v>0.42569444444444449</v>
      </c>
    </row>
    <row r="55" spans="1:5" x14ac:dyDescent="0.3">
      <c r="A55" t="s">
        <v>66</v>
      </c>
      <c r="B55">
        <v>120</v>
      </c>
      <c r="C55" s="2">
        <f t="shared" si="2"/>
        <v>3.9499999999999534E-4</v>
      </c>
      <c r="D55">
        <v>0.82120000000000004</v>
      </c>
      <c r="E55" s="1">
        <f t="shared" si="1"/>
        <v>0.42708333333333337</v>
      </c>
    </row>
    <row r="56" spans="1:5" x14ac:dyDescent="0.3">
      <c r="A56" t="s">
        <v>67</v>
      </c>
      <c r="B56">
        <v>120</v>
      </c>
      <c r="C56" s="2">
        <f t="shared" si="2"/>
        <v>1.0249999999999871E-3</v>
      </c>
      <c r="D56">
        <v>3.6030000000000002</v>
      </c>
      <c r="E56" s="1">
        <f t="shared" si="1"/>
        <v>0.42847222222222225</v>
      </c>
    </row>
    <row r="57" spans="1:5" x14ac:dyDescent="0.3">
      <c r="A57" t="s">
        <v>68</v>
      </c>
      <c r="B57">
        <v>120</v>
      </c>
      <c r="C57" s="2">
        <f t="shared" si="2"/>
        <v>1.0800000000000033E-3</v>
      </c>
      <c r="D57">
        <v>1.5641</v>
      </c>
      <c r="E57" s="1">
        <f t="shared" si="1"/>
        <v>0.42986111111111119</v>
      </c>
    </row>
    <row r="58" spans="1:5" x14ac:dyDescent="0.3">
      <c r="A58" t="s">
        <v>62</v>
      </c>
      <c r="B58">
        <v>140</v>
      </c>
      <c r="C58" s="2">
        <f t="shared" si="2"/>
        <v>1.6799999999999927E-3</v>
      </c>
      <c r="D58">
        <v>2.6454</v>
      </c>
      <c r="E58" s="1">
        <f t="shared" si="1"/>
        <v>0.43541666666666673</v>
      </c>
    </row>
    <row r="59" spans="1:5" x14ac:dyDescent="0.3">
      <c r="A59" t="s">
        <v>63</v>
      </c>
      <c r="B59">
        <v>140</v>
      </c>
      <c r="C59" s="2">
        <f t="shared" si="2"/>
        <v>1.0399999999999964E-3</v>
      </c>
      <c r="D59">
        <v>1.4569000000000001</v>
      </c>
      <c r="E59" s="1">
        <f t="shared" si="1"/>
        <v>0.43680555555555561</v>
      </c>
    </row>
    <row r="60" spans="1:5" x14ac:dyDescent="0.3">
      <c r="A60" t="s">
        <v>64</v>
      </c>
      <c r="B60">
        <v>140</v>
      </c>
      <c r="C60" s="2">
        <f t="shared" si="2"/>
        <v>9.0999999999999968E-4</v>
      </c>
      <c r="D60">
        <v>1.9379</v>
      </c>
      <c r="E60" s="1">
        <f t="shared" si="1"/>
        <v>0.4381944444444445</v>
      </c>
    </row>
    <row r="61" spans="1:5" x14ac:dyDescent="0.3">
      <c r="A61" t="s">
        <v>65</v>
      </c>
      <c r="B61">
        <v>140</v>
      </c>
      <c r="C61" s="2">
        <f t="shared" si="2"/>
        <v>9.549999999999947E-4</v>
      </c>
      <c r="D61">
        <v>1.8097000000000001</v>
      </c>
      <c r="E61" s="1">
        <f t="shared" si="1"/>
        <v>0.43958333333333338</v>
      </c>
    </row>
    <row r="62" spans="1:5" x14ac:dyDescent="0.3">
      <c r="A62" t="s">
        <v>66</v>
      </c>
      <c r="B62">
        <v>140</v>
      </c>
      <c r="C62" s="2">
        <f t="shared" si="2"/>
        <v>4.3500000000000206E-4</v>
      </c>
      <c r="D62">
        <v>0.8125</v>
      </c>
      <c r="E62" s="1">
        <f t="shared" si="1"/>
        <v>0.44097222222222227</v>
      </c>
    </row>
    <row r="63" spans="1:5" x14ac:dyDescent="0.3">
      <c r="A63" t="s">
        <v>67</v>
      </c>
      <c r="B63">
        <v>140</v>
      </c>
      <c r="C63" s="2">
        <f t="shared" si="2"/>
        <v>9.000000000000119E-4</v>
      </c>
      <c r="D63">
        <v>3.585</v>
      </c>
      <c r="E63" s="1">
        <f t="shared" si="1"/>
        <v>0.44236111111111115</v>
      </c>
    </row>
    <row r="64" spans="1:5" x14ac:dyDescent="0.3">
      <c r="A64" t="s">
        <v>68</v>
      </c>
      <c r="B64">
        <v>140</v>
      </c>
      <c r="C64" s="2">
        <f t="shared" si="2"/>
        <v>9.2499999999999809E-4</v>
      </c>
      <c r="D64">
        <v>1.5456000000000001</v>
      </c>
      <c r="E64" s="1">
        <f t="shared" si="1"/>
        <v>0.44375000000000009</v>
      </c>
    </row>
    <row r="65" spans="1:5" x14ac:dyDescent="0.3">
      <c r="A65" t="s">
        <v>62</v>
      </c>
      <c r="B65">
        <v>160</v>
      </c>
      <c r="C65" s="2">
        <f t="shared" si="2"/>
        <v>1.8650000000000055E-3</v>
      </c>
      <c r="D65">
        <v>2.6080999999999999</v>
      </c>
      <c r="E65" s="1">
        <f t="shared" si="1"/>
        <v>0.44930555555555562</v>
      </c>
    </row>
    <row r="66" spans="1:5" x14ac:dyDescent="0.3">
      <c r="A66" t="s">
        <v>63</v>
      </c>
      <c r="B66">
        <v>160</v>
      </c>
      <c r="C66" s="2">
        <f t="shared" si="2"/>
        <v>9.9500000000000153E-4</v>
      </c>
      <c r="D66">
        <v>1.4370000000000001</v>
      </c>
      <c r="E66" s="1">
        <f t="shared" si="1"/>
        <v>0.45069444444444451</v>
      </c>
    </row>
    <row r="67" spans="1:5" x14ac:dyDescent="0.3">
      <c r="A67" t="s">
        <v>64</v>
      </c>
      <c r="B67">
        <v>160</v>
      </c>
      <c r="C67" s="2">
        <f t="shared" si="2"/>
        <v>9.2499999999999809E-4</v>
      </c>
      <c r="D67">
        <v>1.9194</v>
      </c>
      <c r="E67" s="1">
        <f t="shared" si="1"/>
        <v>0.45208333333333339</v>
      </c>
    </row>
    <row r="68" spans="1:5" x14ac:dyDescent="0.3">
      <c r="A68" t="s">
        <v>65</v>
      </c>
      <c r="B68">
        <v>160</v>
      </c>
      <c r="C68" s="2">
        <f t="shared" si="2"/>
        <v>8.4000000000000741E-4</v>
      </c>
      <c r="D68">
        <v>1.7928999999999999</v>
      </c>
      <c r="E68" s="1">
        <f t="shared" si="1"/>
        <v>0.45347222222222228</v>
      </c>
    </row>
    <row r="69" spans="1:5" x14ac:dyDescent="0.3">
      <c r="A69" t="s">
        <v>66</v>
      </c>
      <c r="B69">
        <v>160</v>
      </c>
      <c r="C69" s="2">
        <f t="shared" si="2"/>
        <v>4.3000000000000259E-4</v>
      </c>
      <c r="D69">
        <v>0.80389999999999995</v>
      </c>
      <c r="E69" s="1">
        <f t="shared" si="1"/>
        <v>0.45486111111111116</v>
      </c>
    </row>
    <row r="70" spans="1:5" x14ac:dyDescent="0.3">
      <c r="A70" t="s">
        <v>67</v>
      </c>
      <c r="B70">
        <v>160</v>
      </c>
      <c r="C70" s="2">
        <f t="shared" si="2"/>
        <v>9.0500000000000021E-4</v>
      </c>
      <c r="D70">
        <v>3.5669</v>
      </c>
      <c r="E70" s="1">
        <f t="shared" si="1"/>
        <v>0.45625000000000004</v>
      </c>
    </row>
    <row r="71" spans="1:5" x14ac:dyDescent="0.3">
      <c r="A71" t="s">
        <v>68</v>
      </c>
      <c r="B71">
        <v>160</v>
      </c>
      <c r="C71" s="2">
        <f t="shared" si="2"/>
        <v>9.9000000000000195E-4</v>
      </c>
      <c r="D71">
        <v>1.5258</v>
      </c>
      <c r="E71" s="1">
        <f t="shared" si="1"/>
        <v>0.45763888888888898</v>
      </c>
    </row>
    <row r="72" spans="1:5" x14ac:dyDescent="0.3">
      <c r="A72" t="s">
        <v>62</v>
      </c>
      <c r="B72">
        <v>180</v>
      </c>
      <c r="C72" s="2">
        <f t="shared" si="2"/>
        <v>1.2599999999999944E-3</v>
      </c>
      <c r="D72">
        <v>2.5829</v>
      </c>
      <c r="E72" s="1">
        <f t="shared" si="1"/>
        <v>0.46319444444444452</v>
      </c>
    </row>
    <row r="73" spans="1:5" x14ac:dyDescent="0.3">
      <c r="A73" t="s">
        <v>63</v>
      </c>
      <c r="B73">
        <v>180</v>
      </c>
      <c r="C73" s="2">
        <f t="shared" si="2"/>
        <v>8.5500000000000571E-4</v>
      </c>
      <c r="D73">
        <v>1.4198999999999999</v>
      </c>
      <c r="E73" s="1">
        <f t="shared" si="1"/>
        <v>0.4645833333333334</v>
      </c>
    </row>
    <row r="74" spans="1:5" x14ac:dyDescent="0.3">
      <c r="A74" t="s">
        <v>64</v>
      </c>
      <c r="B74">
        <v>180</v>
      </c>
      <c r="C74" s="2">
        <f t="shared" si="2"/>
        <v>1.1050000000000005E-3</v>
      </c>
      <c r="D74">
        <v>1.8973</v>
      </c>
      <c r="E74" s="1">
        <f t="shared" si="1"/>
        <v>0.46597222222222229</v>
      </c>
    </row>
    <row r="75" spans="1:5" x14ac:dyDescent="0.3">
      <c r="A75" t="s">
        <v>65</v>
      </c>
      <c r="B75">
        <v>180</v>
      </c>
      <c r="C75" s="2">
        <f t="shared" si="2"/>
        <v>7.7999999999999185E-4</v>
      </c>
      <c r="D75">
        <v>1.7773000000000001</v>
      </c>
      <c r="E75" s="1">
        <f t="shared" si="1"/>
        <v>0.46736111111111117</v>
      </c>
    </row>
    <row r="76" spans="1:5" x14ac:dyDescent="0.3">
      <c r="A76" t="s">
        <v>66</v>
      </c>
      <c r="B76">
        <v>180</v>
      </c>
      <c r="C76" s="2">
        <f t="shared" si="2"/>
        <v>4.0999999999999923E-4</v>
      </c>
      <c r="D76">
        <v>0.79569999999999996</v>
      </c>
      <c r="E76" s="1">
        <f t="shared" si="1"/>
        <v>0.46875000000000006</v>
      </c>
    </row>
    <row r="77" spans="1:5" x14ac:dyDescent="0.3">
      <c r="A77" t="s">
        <v>67</v>
      </c>
      <c r="B77">
        <v>180</v>
      </c>
      <c r="C77" s="2">
        <f t="shared" si="2"/>
        <v>8.4500000000000688E-4</v>
      </c>
      <c r="D77">
        <v>3.55</v>
      </c>
      <c r="E77" s="1">
        <f t="shared" si="1"/>
        <v>0.47013888888888894</v>
      </c>
    </row>
    <row r="78" spans="1:5" x14ac:dyDescent="0.3">
      <c r="A78" t="s">
        <v>68</v>
      </c>
      <c r="B78">
        <v>180</v>
      </c>
      <c r="C78" s="2">
        <f t="shared" si="2"/>
        <v>9.3499999999999692E-4</v>
      </c>
      <c r="D78">
        <v>1.5071000000000001</v>
      </c>
      <c r="E78" s="1">
        <f t="shared" si="1"/>
        <v>0.47152777777777788</v>
      </c>
    </row>
    <row r="79" spans="1:5" x14ac:dyDescent="0.3">
      <c r="A79" t="s">
        <v>62</v>
      </c>
      <c r="B79">
        <v>200</v>
      </c>
      <c r="C79" s="2">
        <f t="shared" si="2"/>
        <v>1.5400000000000079E-3</v>
      </c>
      <c r="D79">
        <v>2.5520999999999998</v>
      </c>
      <c r="E79" s="1">
        <f t="shared" si="1"/>
        <v>0.47708333333333341</v>
      </c>
    </row>
    <row r="80" spans="1:5" x14ac:dyDescent="0.3">
      <c r="A80" t="s">
        <v>63</v>
      </c>
      <c r="B80">
        <v>200</v>
      </c>
      <c r="C80" s="2">
        <f t="shared" si="2"/>
        <v>9.1499999999999915E-4</v>
      </c>
      <c r="D80">
        <v>1.4016</v>
      </c>
      <c r="E80" s="1">
        <f t="shared" ref="E80:E106" si="3">E73+(20/1440)</f>
        <v>0.4784722222222223</v>
      </c>
    </row>
    <row r="81" spans="1:5" x14ac:dyDescent="0.3">
      <c r="A81" t="s">
        <v>64</v>
      </c>
      <c r="B81">
        <v>200</v>
      </c>
      <c r="C81" s="2">
        <f t="shared" ref="C81:C106" si="4">(D74-D81)/20</f>
        <v>9.9000000000000195E-4</v>
      </c>
      <c r="D81">
        <v>1.8774999999999999</v>
      </c>
      <c r="E81" s="1">
        <f t="shared" si="3"/>
        <v>0.47986111111111118</v>
      </c>
    </row>
    <row r="82" spans="1:5" x14ac:dyDescent="0.3">
      <c r="A82" t="s">
        <v>65</v>
      </c>
      <c r="B82">
        <v>200</v>
      </c>
      <c r="C82" s="2">
        <f t="shared" si="4"/>
        <v>8.2000000000000963E-4</v>
      </c>
      <c r="D82">
        <v>1.7608999999999999</v>
      </c>
      <c r="E82" s="1">
        <f t="shared" si="3"/>
        <v>0.48125000000000007</v>
      </c>
    </row>
    <row r="83" spans="1:5" x14ac:dyDescent="0.3">
      <c r="A83" t="s">
        <v>66</v>
      </c>
      <c r="B83">
        <v>200</v>
      </c>
      <c r="C83" s="2">
        <f t="shared" si="4"/>
        <v>4.149999999999987E-4</v>
      </c>
      <c r="D83">
        <v>0.78739999999999999</v>
      </c>
      <c r="E83" s="1">
        <f t="shared" si="3"/>
        <v>0.48263888888888895</v>
      </c>
    </row>
    <row r="84" spans="1:5" x14ac:dyDescent="0.3">
      <c r="A84" t="s">
        <v>67</v>
      </c>
      <c r="B84">
        <v>200</v>
      </c>
      <c r="C84" s="2">
        <f t="shared" si="4"/>
        <v>8.3499999999998571E-4</v>
      </c>
      <c r="D84">
        <v>3.5333000000000001</v>
      </c>
      <c r="E84" s="1">
        <f t="shared" si="3"/>
        <v>0.48402777777777783</v>
      </c>
    </row>
    <row r="85" spans="1:5" x14ac:dyDescent="0.3">
      <c r="A85" t="s">
        <v>68</v>
      </c>
      <c r="B85">
        <v>200</v>
      </c>
      <c r="C85" s="5">
        <f t="shared" si="4"/>
        <v>8.8500000000000243E-4</v>
      </c>
      <c r="D85">
        <v>1.4894000000000001</v>
      </c>
      <c r="E85" s="1">
        <f t="shared" si="3"/>
        <v>0.48541666666666677</v>
      </c>
    </row>
    <row r="86" spans="1:5" x14ac:dyDescent="0.3">
      <c r="A86" t="s">
        <v>62</v>
      </c>
      <c r="B86">
        <v>220</v>
      </c>
      <c r="C86" s="5">
        <f t="shared" si="4"/>
        <v>1.5549999999999952E-3</v>
      </c>
      <c r="D86">
        <v>2.5209999999999999</v>
      </c>
      <c r="E86" s="1">
        <f t="shared" si="3"/>
        <v>0.49097222222222231</v>
      </c>
    </row>
    <row r="87" spans="1:5" x14ac:dyDescent="0.3">
      <c r="A87" t="s">
        <v>63</v>
      </c>
      <c r="B87">
        <v>220</v>
      </c>
      <c r="C87" s="2">
        <f t="shared" si="4"/>
        <v>9.0500000000000021E-4</v>
      </c>
      <c r="D87">
        <v>1.3835</v>
      </c>
      <c r="E87" s="1">
        <f t="shared" si="3"/>
        <v>0.49236111111111119</v>
      </c>
    </row>
    <row r="88" spans="1:5" x14ac:dyDescent="0.3">
      <c r="A88" t="s">
        <v>64</v>
      </c>
      <c r="B88">
        <v>220</v>
      </c>
      <c r="C88" s="5">
        <f t="shared" si="4"/>
        <v>9.9000000000000195E-4</v>
      </c>
      <c r="D88">
        <v>1.8576999999999999</v>
      </c>
      <c r="E88" s="1">
        <f t="shared" si="3"/>
        <v>0.49375000000000008</v>
      </c>
    </row>
    <row r="89" spans="1:5" x14ac:dyDescent="0.3">
      <c r="A89" t="s">
        <v>65</v>
      </c>
      <c r="B89">
        <v>220</v>
      </c>
      <c r="C89" s="5">
        <f t="shared" si="4"/>
        <v>8.1999999999999846E-4</v>
      </c>
      <c r="D89">
        <v>1.7444999999999999</v>
      </c>
      <c r="E89" s="1">
        <f t="shared" si="3"/>
        <v>0.49513888888888896</v>
      </c>
    </row>
    <row r="90" spans="1:5" x14ac:dyDescent="0.3">
      <c r="A90" t="s">
        <v>66</v>
      </c>
      <c r="B90">
        <v>220</v>
      </c>
      <c r="C90" s="5">
        <f t="shared" si="4"/>
        <v>3.9500000000000093E-4</v>
      </c>
      <c r="D90">
        <v>0.77949999999999997</v>
      </c>
      <c r="E90" s="1">
        <f t="shared" si="3"/>
        <v>0.49652777777777785</v>
      </c>
    </row>
    <row r="91" spans="1:5" x14ac:dyDescent="0.3">
      <c r="A91" t="s">
        <v>67</v>
      </c>
      <c r="B91">
        <v>220</v>
      </c>
      <c r="C91" s="5">
        <f t="shared" si="4"/>
        <v>8.5500000000000571E-4</v>
      </c>
      <c r="D91">
        <v>3.5162</v>
      </c>
      <c r="E91" s="1">
        <f t="shared" si="3"/>
        <v>0.49791666666666673</v>
      </c>
    </row>
    <row r="92" spans="1:5" x14ac:dyDescent="0.3">
      <c r="A92" t="s">
        <v>68</v>
      </c>
      <c r="B92">
        <v>220</v>
      </c>
      <c r="C92" s="5">
        <f t="shared" si="4"/>
        <v>1.0149999999999992E-3</v>
      </c>
      <c r="D92">
        <v>1.4691000000000001</v>
      </c>
      <c r="E92" s="1">
        <f t="shared" si="3"/>
        <v>0.49930555555555567</v>
      </c>
    </row>
    <row r="93" spans="1:5" x14ac:dyDescent="0.3">
      <c r="A93" t="s">
        <v>62</v>
      </c>
      <c r="B93">
        <v>240</v>
      </c>
      <c r="C93" s="5">
        <f t="shared" si="4"/>
        <v>1.4000000000000013E-3</v>
      </c>
      <c r="D93">
        <v>2.4929999999999999</v>
      </c>
      <c r="E93" s="1">
        <f t="shared" si="3"/>
        <v>0.5048611111111112</v>
      </c>
    </row>
    <row r="94" spans="1:5" x14ac:dyDescent="0.3">
      <c r="A94" t="s">
        <v>63</v>
      </c>
      <c r="B94">
        <v>240</v>
      </c>
      <c r="C94" s="2">
        <f t="shared" si="4"/>
        <v>9.1499999999999915E-4</v>
      </c>
      <c r="D94">
        <v>1.3652</v>
      </c>
      <c r="E94" s="1">
        <f t="shared" si="3"/>
        <v>0.50625000000000009</v>
      </c>
    </row>
    <row r="95" spans="1:5" x14ac:dyDescent="0.3">
      <c r="A95" t="s">
        <v>64</v>
      </c>
      <c r="B95">
        <v>240</v>
      </c>
      <c r="C95" s="5">
        <f t="shared" si="4"/>
        <v>1.0199999999999988E-3</v>
      </c>
      <c r="D95">
        <v>1.8372999999999999</v>
      </c>
      <c r="E95" s="1">
        <f t="shared" si="3"/>
        <v>0.50763888888888897</v>
      </c>
    </row>
    <row r="96" spans="1:5" x14ac:dyDescent="0.3">
      <c r="A96" t="s">
        <v>65</v>
      </c>
      <c r="B96">
        <v>240</v>
      </c>
      <c r="C96" s="5">
        <f t="shared" si="4"/>
        <v>8.4999999999999518E-4</v>
      </c>
      <c r="D96">
        <v>1.7275</v>
      </c>
      <c r="E96" s="1">
        <f t="shared" si="3"/>
        <v>0.50902777777777786</v>
      </c>
    </row>
    <row r="97" spans="1:5" x14ac:dyDescent="0.3">
      <c r="A97" t="s">
        <v>66</v>
      </c>
      <c r="B97">
        <v>240</v>
      </c>
      <c r="C97" s="5">
        <f t="shared" si="4"/>
        <v>4.2499999999999759E-4</v>
      </c>
      <c r="D97">
        <v>0.77100000000000002</v>
      </c>
      <c r="E97" s="1">
        <f t="shared" si="3"/>
        <v>0.51041666666666674</v>
      </c>
    </row>
    <row r="98" spans="1:5" x14ac:dyDescent="0.3">
      <c r="A98" t="s">
        <v>67</v>
      </c>
      <c r="B98">
        <v>240</v>
      </c>
      <c r="C98" s="5">
        <f t="shared" si="4"/>
        <v>8.6999999999999296E-4</v>
      </c>
      <c r="D98">
        <v>3.4988000000000001</v>
      </c>
      <c r="E98" s="1">
        <f t="shared" si="3"/>
        <v>0.51180555555555562</v>
      </c>
    </row>
    <row r="99" spans="1:5" x14ac:dyDescent="0.3">
      <c r="A99" t="s">
        <v>68</v>
      </c>
      <c r="B99">
        <v>240</v>
      </c>
      <c r="C99" s="5">
        <f t="shared" si="4"/>
        <v>8.3000000000000847E-4</v>
      </c>
      <c r="D99">
        <v>1.4524999999999999</v>
      </c>
      <c r="E99" s="1">
        <f t="shared" si="3"/>
        <v>0.51319444444444451</v>
      </c>
    </row>
    <row r="100" spans="1:5" x14ac:dyDescent="0.3">
      <c r="A100" t="s">
        <v>62</v>
      </c>
      <c r="B100">
        <v>260</v>
      </c>
      <c r="C100" s="5">
        <f t="shared" si="4"/>
        <v>1.4799999999999924E-3</v>
      </c>
      <c r="D100">
        <v>2.4634</v>
      </c>
      <c r="E100" s="1">
        <f t="shared" si="3"/>
        <v>0.51875000000000004</v>
      </c>
    </row>
    <row r="101" spans="1:5" x14ac:dyDescent="0.3">
      <c r="A101" t="s">
        <v>63</v>
      </c>
      <c r="B101">
        <v>260</v>
      </c>
      <c r="C101" s="5">
        <f t="shared" si="4"/>
        <v>9.1999999999999862E-4</v>
      </c>
      <c r="D101">
        <v>1.3468</v>
      </c>
      <c r="E101" s="1">
        <f t="shared" si="3"/>
        <v>0.52013888888888893</v>
      </c>
    </row>
    <row r="102" spans="1:5" x14ac:dyDescent="0.3">
      <c r="A102" t="s">
        <v>64</v>
      </c>
      <c r="B102">
        <v>260</v>
      </c>
      <c r="C102" s="5">
        <f t="shared" si="4"/>
        <v>1.0499999999999954E-3</v>
      </c>
      <c r="D102">
        <v>1.8163</v>
      </c>
      <c r="E102" s="1">
        <f t="shared" si="3"/>
        <v>0.52152777777777781</v>
      </c>
    </row>
    <row r="103" spans="1:5" x14ac:dyDescent="0.3">
      <c r="A103" t="s">
        <v>65</v>
      </c>
      <c r="B103">
        <v>260</v>
      </c>
      <c r="C103" s="5">
        <f t="shared" si="4"/>
        <v>7.500000000000062E-4</v>
      </c>
      <c r="D103">
        <v>1.7124999999999999</v>
      </c>
      <c r="E103" s="1">
        <f t="shared" si="3"/>
        <v>0.5229166666666667</v>
      </c>
    </row>
    <row r="104" spans="1:5" x14ac:dyDescent="0.3">
      <c r="A104" t="s">
        <v>66</v>
      </c>
      <c r="B104">
        <v>260</v>
      </c>
      <c r="C104" s="5">
        <f t="shared" si="4"/>
        <v>3.4000000000000143E-4</v>
      </c>
      <c r="D104">
        <v>0.76419999999999999</v>
      </c>
      <c r="E104" s="1">
        <f t="shared" si="3"/>
        <v>0.52430555555555558</v>
      </c>
    </row>
    <row r="105" spans="1:5" x14ac:dyDescent="0.3">
      <c r="A105" t="s">
        <v>67</v>
      </c>
      <c r="B105">
        <v>260</v>
      </c>
      <c r="C105" s="5">
        <f t="shared" si="4"/>
        <v>7.7000000000000397E-4</v>
      </c>
      <c r="D105">
        <v>3.4834000000000001</v>
      </c>
      <c r="E105" s="1">
        <f t="shared" si="3"/>
        <v>0.52569444444444446</v>
      </c>
    </row>
    <row r="106" spans="1:5" x14ac:dyDescent="0.3">
      <c r="A106" t="s">
        <v>68</v>
      </c>
      <c r="B106">
        <v>260</v>
      </c>
      <c r="C106" s="5">
        <f t="shared" si="4"/>
        <v>9.1499999999999915E-4</v>
      </c>
      <c r="D106">
        <v>1.4341999999999999</v>
      </c>
      <c r="E106" s="1">
        <f t="shared" si="3"/>
        <v>0.52708333333333335</v>
      </c>
    </row>
    <row r="107" spans="1:5" x14ac:dyDescent="0.3">
      <c r="C107" s="5"/>
      <c r="E107" s="1"/>
    </row>
    <row r="108" spans="1:5" x14ac:dyDescent="0.3">
      <c r="C108" s="5"/>
      <c r="E108" s="1"/>
    </row>
    <row r="109" spans="1:5" x14ac:dyDescent="0.3">
      <c r="C109" s="5"/>
      <c r="E109" s="1"/>
    </row>
    <row r="110" spans="1:5" x14ac:dyDescent="0.3">
      <c r="C110" s="5"/>
      <c r="E110" s="1"/>
    </row>
    <row r="111" spans="1:5" x14ac:dyDescent="0.3">
      <c r="C111" s="5"/>
      <c r="E111" s="1"/>
    </row>
    <row r="112" spans="1:5" x14ac:dyDescent="0.3">
      <c r="C112" s="5"/>
      <c r="E112" s="1"/>
    </row>
    <row r="113" spans="3:5" x14ac:dyDescent="0.3">
      <c r="C113" s="5"/>
      <c r="E113" s="1"/>
    </row>
    <row r="114" spans="3:5" x14ac:dyDescent="0.3">
      <c r="C114" s="5"/>
      <c r="E114" s="1"/>
    </row>
    <row r="115" spans="3:5" x14ac:dyDescent="0.3">
      <c r="C115" s="5"/>
      <c r="E115" s="1"/>
    </row>
    <row r="116" spans="3:5" x14ac:dyDescent="0.3">
      <c r="C116" s="5"/>
      <c r="E116" s="1"/>
    </row>
    <row r="117" spans="3:5" x14ac:dyDescent="0.3">
      <c r="C117" s="5"/>
      <c r="E117" s="1"/>
    </row>
    <row r="118" spans="3:5" x14ac:dyDescent="0.3">
      <c r="C118" s="5"/>
      <c r="E118" s="1"/>
    </row>
    <row r="119" spans="3:5" x14ac:dyDescent="0.3">
      <c r="C119" s="5"/>
      <c r="E119" s="1"/>
    </row>
    <row r="120" spans="3:5" x14ac:dyDescent="0.3">
      <c r="C120" s="5"/>
      <c r="E1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7F7C-012C-4C8E-BC79-2749B45AB867}">
  <dimension ref="A1:F168"/>
  <sheetViews>
    <sheetView workbookViewId="0">
      <selection activeCell="L25" sqref="L25"/>
    </sheetView>
  </sheetViews>
  <sheetFormatPr baseColWidth="10" defaultRowHeight="14.4" x14ac:dyDescent="0.3"/>
  <cols>
    <col min="3" max="3" width="11.5546875" style="5"/>
  </cols>
  <sheetData>
    <row r="1" spans="1:6" x14ac:dyDescent="0.3">
      <c r="A1" t="s">
        <v>0</v>
      </c>
      <c r="B1" t="s">
        <v>21</v>
      </c>
      <c r="C1" s="5" t="s">
        <v>31</v>
      </c>
    </row>
    <row r="2" spans="1:6" x14ac:dyDescent="0.3">
      <c r="A2" t="s">
        <v>82</v>
      </c>
      <c r="D2">
        <v>1.4952000000000001</v>
      </c>
      <c r="E2" s="1">
        <v>0.36875000000000002</v>
      </c>
      <c r="F2" s="3">
        <v>46166</v>
      </c>
    </row>
    <row r="3" spans="1:6" x14ac:dyDescent="0.3">
      <c r="A3" t="s">
        <v>83</v>
      </c>
      <c r="D3">
        <v>1.1903999999999999</v>
      </c>
      <c r="E3" s="1">
        <v>0.36944444444444446</v>
      </c>
      <c r="F3" s="3">
        <v>46166</v>
      </c>
    </row>
    <row r="4" spans="1:6" x14ac:dyDescent="0.3">
      <c r="A4" t="s">
        <v>84</v>
      </c>
      <c r="D4">
        <v>2.4628999999999999</v>
      </c>
      <c r="E4" s="1">
        <v>0.37013888888888891</v>
      </c>
      <c r="F4" s="3">
        <v>46166</v>
      </c>
    </row>
    <row r="5" spans="1:6" x14ac:dyDescent="0.3">
      <c r="A5" t="s">
        <v>85</v>
      </c>
      <c r="D5">
        <v>1.9722</v>
      </c>
      <c r="E5" s="1">
        <v>0.37152777777777779</v>
      </c>
      <c r="F5" s="3">
        <v>46166</v>
      </c>
    </row>
    <row r="6" spans="1:6" x14ac:dyDescent="0.3">
      <c r="A6" t="s">
        <v>86</v>
      </c>
      <c r="D6">
        <v>1.3291999999999999</v>
      </c>
      <c r="E6" s="1">
        <v>0.37222222222222223</v>
      </c>
      <c r="F6" s="3">
        <v>46166</v>
      </c>
    </row>
    <row r="7" spans="1:6" x14ac:dyDescent="0.3">
      <c r="A7" t="s">
        <v>87</v>
      </c>
      <c r="D7">
        <v>1.8653</v>
      </c>
      <c r="E7" s="1">
        <v>0.37430555555555556</v>
      </c>
      <c r="F7" s="3">
        <v>46166</v>
      </c>
    </row>
    <row r="8" spans="1:6" x14ac:dyDescent="0.3">
      <c r="A8" t="s">
        <v>88</v>
      </c>
      <c r="D8">
        <v>2.6537000000000002</v>
      </c>
      <c r="E8" s="1">
        <v>0.37569444444444444</v>
      </c>
      <c r="F8" s="3">
        <v>46166</v>
      </c>
    </row>
    <row r="9" spans="1:6" x14ac:dyDescent="0.3">
      <c r="A9" t="s">
        <v>89</v>
      </c>
      <c r="D9">
        <v>2.3679000000000001</v>
      </c>
      <c r="E9" s="1">
        <v>0.37708333333333333</v>
      </c>
      <c r="F9" s="3">
        <v>46166</v>
      </c>
    </row>
    <row r="10" spans="1:6" x14ac:dyDescent="0.3">
      <c r="A10" t="s">
        <v>90</v>
      </c>
      <c r="D10">
        <v>3.3917000000000002</v>
      </c>
      <c r="E10" s="1">
        <v>0.37847222222222221</v>
      </c>
      <c r="F10" s="3">
        <v>46166</v>
      </c>
    </row>
    <row r="11" spans="1:6" x14ac:dyDescent="0.3">
      <c r="A11" t="s">
        <v>82</v>
      </c>
      <c r="B11">
        <v>0</v>
      </c>
      <c r="C11" s="5">
        <f>D11</f>
        <v>1.4763999999999999</v>
      </c>
      <c r="D11">
        <v>1.4763999999999999</v>
      </c>
      <c r="E11" s="1">
        <f>E2+(15/1440)</f>
        <v>0.37916666666666671</v>
      </c>
      <c r="F11" s="3">
        <v>46166</v>
      </c>
    </row>
    <row r="12" spans="1:6" x14ac:dyDescent="0.3">
      <c r="A12" t="s">
        <v>83</v>
      </c>
      <c r="B12">
        <v>0</v>
      </c>
      <c r="C12" s="5">
        <f t="shared" ref="C12:C19" si="0">D12</f>
        <v>1.1801999999999999</v>
      </c>
      <c r="D12">
        <v>1.1801999999999999</v>
      </c>
      <c r="E12" s="1">
        <f t="shared" ref="E12:E19" si="1">E3+(15/1440)</f>
        <v>0.37986111111111115</v>
      </c>
      <c r="F12" s="3">
        <v>46166</v>
      </c>
    </row>
    <row r="13" spans="1:6" x14ac:dyDescent="0.3">
      <c r="A13" t="s">
        <v>84</v>
      </c>
      <c r="B13">
        <v>0</v>
      </c>
      <c r="C13" s="5">
        <f t="shared" si="0"/>
        <v>2.4496000000000002</v>
      </c>
      <c r="D13">
        <v>2.4496000000000002</v>
      </c>
      <c r="E13" s="1">
        <f t="shared" si="1"/>
        <v>0.38055555555555559</v>
      </c>
      <c r="F13" s="3">
        <v>46166</v>
      </c>
    </row>
    <row r="14" spans="1:6" x14ac:dyDescent="0.3">
      <c r="A14" t="s">
        <v>85</v>
      </c>
      <c r="B14">
        <v>0</v>
      </c>
      <c r="C14" s="5">
        <f t="shared" si="0"/>
        <v>1.9561999999999999</v>
      </c>
      <c r="D14">
        <v>1.9561999999999999</v>
      </c>
      <c r="E14" s="1">
        <f t="shared" si="1"/>
        <v>0.38194444444444448</v>
      </c>
      <c r="F14" s="3">
        <v>46166</v>
      </c>
    </row>
    <row r="15" spans="1:6" x14ac:dyDescent="0.3">
      <c r="A15" t="s">
        <v>86</v>
      </c>
      <c r="B15">
        <v>0</v>
      </c>
      <c r="C15" s="5">
        <f t="shared" si="0"/>
        <v>1.3160000000000001</v>
      </c>
      <c r="D15">
        <v>1.3160000000000001</v>
      </c>
      <c r="E15" s="1">
        <f t="shared" si="1"/>
        <v>0.38263888888888892</v>
      </c>
      <c r="F15" s="3">
        <v>46166</v>
      </c>
    </row>
    <row r="16" spans="1:6" x14ac:dyDescent="0.3">
      <c r="A16" t="s">
        <v>87</v>
      </c>
      <c r="B16">
        <v>0</v>
      </c>
      <c r="C16" s="5">
        <f t="shared" si="0"/>
        <v>1.8498000000000001</v>
      </c>
      <c r="D16">
        <v>1.8498000000000001</v>
      </c>
      <c r="E16" s="1">
        <f t="shared" si="1"/>
        <v>0.38472222222222224</v>
      </c>
      <c r="F16" s="3">
        <v>46166</v>
      </c>
    </row>
    <row r="17" spans="1:6" x14ac:dyDescent="0.3">
      <c r="A17" t="s">
        <v>88</v>
      </c>
      <c r="B17">
        <v>0</v>
      </c>
      <c r="C17" s="5">
        <f t="shared" si="0"/>
        <v>2.6337999999999999</v>
      </c>
      <c r="D17">
        <v>2.6337999999999999</v>
      </c>
      <c r="E17" s="1">
        <f t="shared" si="1"/>
        <v>0.38611111111111113</v>
      </c>
      <c r="F17" s="3">
        <v>46166</v>
      </c>
    </row>
    <row r="18" spans="1:6" x14ac:dyDescent="0.3">
      <c r="A18" t="s">
        <v>89</v>
      </c>
      <c r="B18">
        <v>0</v>
      </c>
      <c r="C18" s="5">
        <f t="shared" si="0"/>
        <v>2.3557999999999999</v>
      </c>
      <c r="D18">
        <v>2.3557999999999999</v>
      </c>
      <c r="E18" s="1">
        <f t="shared" si="1"/>
        <v>0.38750000000000001</v>
      </c>
      <c r="F18" s="3">
        <v>46166</v>
      </c>
    </row>
    <row r="19" spans="1:6" x14ac:dyDescent="0.3">
      <c r="A19" t="s">
        <v>90</v>
      </c>
      <c r="B19">
        <v>0</v>
      </c>
      <c r="C19" s="5">
        <f t="shared" si="0"/>
        <v>3.3721999999999999</v>
      </c>
      <c r="D19">
        <v>3.3721999999999999</v>
      </c>
      <c r="E19" s="1">
        <f t="shared" si="1"/>
        <v>0.3888888888888889</v>
      </c>
      <c r="F19" s="3">
        <v>46166</v>
      </c>
    </row>
    <row r="20" spans="1:6" x14ac:dyDescent="0.3">
      <c r="A20" t="s">
        <v>82</v>
      </c>
      <c r="B20">
        <v>20</v>
      </c>
      <c r="C20" s="5">
        <f>((D11-D20))/20</f>
        <v>1.0149999999999992E-3</v>
      </c>
      <c r="D20">
        <v>1.4560999999999999</v>
      </c>
      <c r="E20" s="1">
        <f>E11+(20/1440)</f>
        <v>0.3930555555555556</v>
      </c>
      <c r="F20" s="3">
        <v>46166</v>
      </c>
    </row>
    <row r="21" spans="1:6" x14ac:dyDescent="0.3">
      <c r="A21" t="s">
        <v>83</v>
      </c>
      <c r="B21">
        <v>20</v>
      </c>
      <c r="C21" s="5">
        <f t="shared" ref="C21:C84" si="2">((D12-D21))/20</f>
        <v>3.649999999999931E-4</v>
      </c>
      <c r="D21">
        <v>1.1729000000000001</v>
      </c>
      <c r="E21" s="1">
        <f t="shared" ref="E21:E84" si="3">E12+(20/1440)</f>
        <v>0.39375000000000004</v>
      </c>
      <c r="F21" s="3">
        <v>46166</v>
      </c>
    </row>
    <row r="22" spans="1:6" x14ac:dyDescent="0.3">
      <c r="A22" t="s">
        <v>84</v>
      </c>
      <c r="B22">
        <v>20</v>
      </c>
      <c r="C22" s="5">
        <f t="shared" si="2"/>
        <v>7.000000000000117E-4</v>
      </c>
      <c r="D22">
        <v>2.4356</v>
      </c>
      <c r="E22" s="1">
        <f t="shared" si="3"/>
        <v>0.39444444444444449</v>
      </c>
      <c r="F22" s="3">
        <v>46166</v>
      </c>
    </row>
    <row r="23" spans="1:6" x14ac:dyDescent="0.3">
      <c r="A23" t="s">
        <v>85</v>
      </c>
      <c r="B23">
        <v>20</v>
      </c>
      <c r="C23" s="5">
        <f t="shared" si="2"/>
        <v>8.4999999999999518E-4</v>
      </c>
      <c r="D23">
        <v>1.9392</v>
      </c>
      <c r="E23" s="1">
        <f t="shared" si="3"/>
        <v>0.39583333333333337</v>
      </c>
      <c r="F23" s="3">
        <v>46166</v>
      </c>
    </row>
    <row r="24" spans="1:6" x14ac:dyDescent="0.3">
      <c r="A24" t="s">
        <v>86</v>
      </c>
      <c r="B24">
        <v>20</v>
      </c>
      <c r="C24" s="5">
        <f t="shared" si="2"/>
        <v>6.4500000000000668E-4</v>
      </c>
      <c r="D24">
        <v>1.3030999999999999</v>
      </c>
      <c r="E24" s="1">
        <f t="shared" si="3"/>
        <v>0.39652777777777781</v>
      </c>
      <c r="F24" s="3">
        <v>46166</v>
      </c>
    </row>
    <row r="25" spans="1:6" x14ac:dyDescent="0.3">
      <c r="A25" t="s">
        <v>87</v>
      </c>
      <c r="B25">
        <v>20</v>
      </c>
      <c r="C25" s="5">
        <f t="shared" si="2"/>
        <v>8.0000000000000069E-4</v>
      </c>
      <c r="D25">
        <v>1.8338000000000001</v>
      </c>
      <c r="E25" s="1">
        <f t="shared" si="3"/>
        <v>0.39861111111111114</v>
      </c>
      <c r="F25" s="3">
        <v>46166</v>
      </c>
    </row>
    <row r="26" spans="1:6" x14ac:dyDescent="0.3">
      <c r="A26" t="s">
        <v>88</v>
      </c>
      <c r="B26">
        <v>20</v>
      </c>
      <c r="C26" s="5">
        <f t="shared" si="2"/>
        <v>1.4599999999999947E-3</v>
      </c>
      <c r="D26">
        <v>2.6046</v>
      </c>
      <c r="E26" s="1">
        <f t="shared" si="3"/>
        <v>0.4</v>
      </c>
      <c r="F26" s="3">
        <v>46166</v>
      </c>
    </row>
    <row r="27" spans="1:6" x14ac:dyDescent="0.3">
      <c r="A27" t="s">
        <v>89</v>
      </c>
      <c r="B27">
        <v>20</v>
      </c>
      <c r="C27" s="5">
        <f t="shared" si="2"/>
        <v>8.799999999999919E-4</v>
      </c>
      <c r="D27">
        <v>2.3382000000000001</v>
      </c>
      <c r="E27" s="1">
        <f t="shared" si="3"/>
        <v>0.40138888888888891</v>
      </c>
      <c r="F27" s="3">
        <v>46166</v>
      </c>
    </row>
    <row r="28" spans="1:6" x14ac:dyDescent="0.3">
      <c r="A28" t="s">
        <v>90</v>
      </c>
      <c r="B28">
        <v>20</v>
      </c>
      <c r="C28" s="5">
        <f t="shared" si="2"/>
        <v>1.5149999999999996E-3</v>
      </c>
      <c r="D28">
        <v>3.3418999999999999</v>
      </c>
      <c r="E28" s="1">
        <f t="shared" si="3"/>
        <v>0.40277777777777779</v>
      </c>
      <c r="F28" s="3">
        <v>46166</v>
      </c>
    </row>
    <row r="29" spans="1:6" x14ac:dyDescent="0.3">
      <c r="A29" t="s">
        <v>82</v>
      </c>
      <c r="B29">
        <v>40</v>
      </c>
      <c r="C29" s="5">
        <f t="shared" si="2"/>
        <v>1.8549999999999955E-3</v>
      </c>
      <c r="D29">
        <v>1.419</v>
      </c>
      <c r="E29" s="1">
        <f t="shared" si="3"/>
        <v>0.4069444444444445</v>
      </c>
      <c r="F29" s="3">
        <v>46166</v>
      </c>
    </row>
    <row r="30" spans="1:6" x14ac:dyDescent="0.3">
      <c r="A30" t="s">
        <v>83</v>
      </c>
      <c r="B30">
        <v>40</v>
      </c>
      <c r="C30" s="5">
        <f t="shared" si="2"/>
        <v>3.4000000000000696E-4</v>
      </c>
      <c r="D30">
        <v>1.1660999999999999</v>
      </c>
      <c r="E30" s="1">
        <f t="shared" si="3"/>
        <v>0.40763888888888894</v>
      </c>
      <c r="F30" s="3">
        <v>46166</v>
      </c>
    </row>
    <row r="31" spans="1:6" x14ac:dyDescent="0.3">
      <c r="A31" t="s">
        <v>84</v>
      </c>
      <c r="B31">
        <v>40</v>
      </c>
      <c r="C31" s="5">
        <f t="shared" si="2"/>
        <v>9.0999999999998862E-4</v>
      </c>
      <c r="D31">
        <v>2.4174000000000002</v>
      </c>
      <c r="E31" s="1">
        <f t="shared" si="3"/>
        <v>0.40833333333333338</v>
      </c>
      <c r="F31" s="3">
        <v>46166</v>
      </c>
    </row>
    <row r="32" spans="1:6" x14ac:dyDescent="0.3">
      <c r="A32" t="s">
        <v>85</v>
      </c>
      <c r="B32">
        <v>40</v>
      </c>
      <c r="C32" s="5">
        <f t="shared" si="2"/>
        <v>7.3499999999999672E-4</v>
      </c>
      <c r="D32">
        <v>1.9245000000000001</v>
      </c>
      <c r="E32" s="1">
        <f t="shared" si="3"/>
        <v>0.40972222222222227</v>
      </c>
      <c r="F32" s="3">
        <v>46166</v>
      </c>
    </row>
    <row r="33" spans="1:6" x14ac:dyDescent="0.3">
      <c r="A33" t="s">
        <v>86</v>
      </c>
      <c r="B33">
        <v>40</v>
      </c>
      <c r="C33" s="5">
        <f t="shared" si="2"/>
        <v>6.4999999999999498E-4</v>
      </c>
      <c r="D33">
        <v>1.2901</v>
      </c>
      <c r="E33" s="1">
        <f t="shared" si="3"/>
        <v>0.41041666666666671</v>
      </c>
      <c r="F33" s="3">
        <v>46166</v>
      </c>
    </row>
    <row r="34" spans="1:6" x14ac:dyDescent="0.3">
      <c r="A34" t="s">
        <v>87</v>
      </c>
      <c r="B34">
        <v>40</v>
      </c>
      <c r="C34" s="5">
        <f t="shared" si="2"/>
        <v>8.8000000000000296E-4</v>
      </c>
      <c r="D34">
        <v>1.8162</v>
      </c>
      <c r="E34" s="1">
        <f t="shared" si="3"/>
        <v>0.41250000000000003</v>
      </c>
      <c r="F34" s="3">
        <v>46166</v>
      </c>
    </row>
    <row r="35" spans="1:6" x14ac:dyDescent="0.3">
      <c r="A35" t="s">
        <v>88</v>
      </c>
      <c r="B35">
        <v>40</v>
      </c>
      <c r="C35" s="5">
        <f t="shared" si="2"/>
        <v>1.374999999999993E-3</v>
      </c>
      <c r="D35">
        <v>2.5771000000000002</v>
      </c>
      <c r="E35" s="1">
        <f t="shared" si="3"/>
        <v>0.41388888888888892</v>
      </c>
      <c r="F35" s="3">
        <v>46166</v>
      </c>
    </row>
    <row r="36" spans="1:6" x14ac:dyDescent="0.3">
      <c r="A36" t="s">
        <v>89</v>
      </c>
      <c r="B36">
        <v>40</v>
      </c>
      <c r="C36" s="5">
        <f t="shared" si="2"/>
        <v>9.000000000000119E-4</v>
      </c>
      <c r="D36">
        <v>2.3201999999999998</v>
      </c>
      <c r="E36" s="1">
        <f t="shared" si="3"/>
        <v>0.4152777777777778</v>
      </c>
      <c r="F36" s="3">
        <v>46166</v>
      </c>
    </row>
    <row r="37" spans="1:6" x14ac:dyDescent="0.3">
      <c r="A37" t="s">
        <v>90</v>
      </c>
      <c r="B37">
        <v>40</v>
      </c>
      <c r="C37" s="5">
        <f t="shared" si="2"/>
        <v>1.3800000000000034E-3</v>
      </c>
      <c r="D37">
        <v>3.3142999999999998</v>
      </c>
      <c r="E37" s="1">
        <f t="shared" si="3"/>
        <v>0.41666666666666669</v>
      </c>
      <c r="F37" s="3">
        <v>46166</v>
      </c>
    </row>
    <row r="38" spans="1:6" x14ac:dyDescent="0.3">
      <c r="A38" t="s">
        <v>82</v>
      </c>
      <c r="B38">
        <v>60</v>
      </c>
      <c r="C38" s="5">
        <f t="shared" si="2"/>
        <v>1.3000000000000012E-3</v>
      </c>
      <c r="D38">
        <v>1.393</v>
      </c>
      <c r="E38" s="1">
        <f t="shared" si="3"/>
        <v>0.42083333333333339</v>
      </c>
      <c r="F38" s="3">
        <v>46166</v>
      </c>
    </row>
    <row r="39" spans="1:6" x14ac:dyDescent="0.3">
      <c r="A39" t="s">
        <v>83</v>
      </c>
      <c r="B39">
        <v>60</v>
      </c>
      <c r="C39" s="5">
        <f t="shared" si="2"/>
        <v>3.5999999999999368E-4</v>
      </c>
      <c r="D39">
        <v>1.1589</v>
      </c>
      <c r="E39" s="1">
        <f t="shared" si="3"/>
        <v>0.42152777777777783</v>
      </c>
      <c r="F39" s="3">
        <v>46166</v>
      </c>
    </row>
    <row r="40" spans="1:6" x14ac:dyDescent="0.3">
      <c r="A40" t="s">
        <v>84</v>
      </c>
      <c r="B40">
        <v>60</v>
      </c>
      <c r="C40" s="5">
        <f t="shared" si="2"/>
        <v>9.1000000000001084E-4</v>
      </c>
      <c r="D40">
        <v>2.3992</v>
      </c>
      <c r="E40" s="1">
        <f t="shared" si="3"/>
        <v>0.42222222222222228</v>
      </c>
      <c r="F40" s="3">
        <v>46166</v>
      </c>
    </row>
    <row r="41" spans="1:6" x14ac:dyDescent="0.3">
      <c r="A41" t="s">
        <v>85</v>
      </c>
      <c r="B41">
        <v>60</v>
      </c>
      <c r="C41" s="5">
        <f t="shared" si="2"/>
        <v>8.4500000000000688E-4</v>
      </c>
      <c r="D41">
        <v>1.9076</v>
      </c>
      <c r="E41" s="1">
        <f t="shared" si="3"/>
        <v>0.42361111111111116</v>
      </c>
      <c r="F41" s="3">
        <v>46166</v>
      </c>
    </row>
    <row r="42" spans="1:6" x14ac:dyDescent="0.3">
      <c r="A42" t="s">
        <v>86</v>
      </c>
      <c r="B42">
        <v>60</v>
      </c>
      <c r="C42" s="5">
        <f t="shared" si="2"/>
        <v>6.6500000000000445E-4</v>
      </c>
      <c r="D42">
        <v>1.2767999999999999</v>
      </c>
      <c r="E42" s="1">
        <f t="shared" si="3"/>
        <v>0.4243055555555556</v>
      </c>
      <c r="F42" s="3">
        <v>46166</v>
      </c>
    </row>
    <row r="43" spans="1:6" x14ac:dyDescent="0.3">
      <c r="A43" t="s">
        <v>87</v>
      </c>
      <c r="B43">
        <v>60</v>
      </c>
      <c r="C43" s="5">
        <f t="shared" si="2"/>
        <v>8.3999999999999635E-4</v>
      </c>
      <c r="D43">
        <v>1.7994000000000001</v>
      </c>
      <c r="E43" s="1">
        <f t="shared" si="3"/>
        <v>0.42638888888888893</v>
      </c>
      <c r="F43" s="3">
        <v>46166</v>
      </c>
    </row>
    <row r="44" spans="1:6" x14ac:dyDescent="0.3">
      <c r="A44" t="s">
        <v>88</v>
      </c>
      <c r="B44">
        <v>60</v>
      </c>
      <c r="C44" s="5">
        <f t="shared" si="2"/>
        <v>1.3300000000000089E-3</v>
      </c>
      <c r="D44">
        <v>2.5505</v>
      </c>
      <c r="E44" s="1">
        <f t="shared" si="3"/>
        <v>0.42777777777777781</v>
      </c>
      <c r="F44" s="3">
        <v>46166</v>
      </c>
    </row>
    <row r="45" spans="1:6" x14ac:dyDescent="0.3">
      <c r="A45" t="s">
        <v>89</v>
      </c>
      <c r="B45">
        <v>60</v>
      </c>
      <c r="C45" s="5">
        <f t="shared" si="2"/>
        <v>8.2499999999998688E-4</v>
      </c>
      <c r="D45">
        <v>2.3037000000000001</v>
      </c>
      <c r="E45" s="1">
        <f t="shared" si="3"/>
        <v>0.4291666666666667</v>
      </c>
      <c r="F45" s="3">
        <v>46166</v>
      </c>
    </row>
    <row r="46" spans="1:6" x14ac:dyDescent="0.3">
      <c r="A46" t="s">
        <v>90</v>
      </c>
      <c r="B46">
        <v>60</v>
      </c>
      <c r="C46" s="5">
        <f t="shared" si="2"/>
        <v>1.2599999999999944E-3</v>
      </c>
      <c r="D46">
        <v>3.2890999999999999</v>
      </c>
      <c r="E46" s="1">
        <f t="shared" si="3"/>
        <v>0.43055555555555558</v>
      </c>
      <c r="F46" s="3">
        <v>46166</v>
      </c>
    </row>
    <row r="47" spans="1:6" x14ac:dyDescent="0.3">
      <c r="A47" t="s">
        <v>82</v>
      </c>
      <c r="B47">
        <v>80</v>
      </c>
      <c r="C47" s="5">
        <f t="shared" si="2"/>
        <v>9.3499999999999692E-4</v>
      </c>
      <c r="D47">
        <v>1.3743000000000001</v>
      </c>
      <c r="E47" s="1">
        <f t="shared" si="3"/>
        <v>0.43472222222222229</v>
      </c>
      <c r="F47" s="3">
        <v>46166</v>
      </c>
    </row>
    <row r="48" spans="1:6" x14ac:dyDescent="0.3">
      <c r="A48" t="s">
        <v>83</v>
      </c>
      <c r="B48">
        <v>80</v>
      </c>
      <c r="C48" s="5">
        <f t="shared" si="2"/>
        <v>3.2499999999999749E-4</v>
      </c>
      <c r="D48">
        <v>1.1524000000000001</v>
      </c>
      <c r="E48" s="1">
        <f t="shared" si="3"/>
        <v>0.43541666666666673</v>
      </c>
      <c r="F48" s="3">
        <v>46166</v>
      </c>
    </row>
    <row r="49" spans="1:6" x14ac:dyDescent="0.3">
      <c r="A49" t="s">
        <v>84</v>
      </c>
      <c r="B49">
        <v>80</v>
      </c>
      <c r="C49" s="5">
        <f t="shared" si="2"/>
        <v>8.250000000000091E-4</v>
      </c>
      <c r="D49">
        <v>2.3826999999999998</v>
      </c>
      <c r="E49" s="1">
        <f t="shared" si="3"/>
        <v>0.43611111111111117</v>
      </c>
      <c r="F49" s="3">
        <v>46166</v>
      </c>
    </row>
    <row r="50" spans="1:6" x14ac:dyDescent="0.3">
      <c r="A50" t="s">
        <v>85</v>
      </c>
      <c r="B50">
        <v>80</v>
      </c>
      <c r="C50" s="5">
        <f t="shared" si="2"/>
        <v>9.3499999999999692E-4</v>
      </c>
      <c r="D50">
        <v>1.8889</v>
      </c>
      <c r="E50" s="1">
        <f t="shared" si="3"/>
        <v>0.43750000000000006</v>
      </c>
      <c r="F50" s="3">
        <v>46166</v>
      </c>
    </row>
    <row r="51" spans="1:6" x14ac:dyDescent="0.3">
      <c r="A51" t="s">
        <v>86</v>
      </c>
      <c r="B51">
        <v>80</v>
      </c>
      <c r="C51" s="5">
        <f t="shared" si="2"/>
        <v>7.1999999999999842E-4</v>
      </c>
      <c r="D51">
        <v>1.2624</v>
      </c>
      <c r="E51" s="1">
        <f t="shared" si="3"/>
        <v>0.4381944444444445</v>
      </c>
      <c r="F51" s="3">
        <v>46166</v>
      </c>
    </row>
    <row r="52" spans="1:6" x14ac:dyDescent="0.3">
      <c r="A52" t="s">
        <v>87</v>
      </c>
      <c r="B52">
        <v>80</v>
      </c>
      <c r="C52" s="5">
        <f t="shared" si="2"/>
        <v>8.750000000000036E-4</v>
      </c>
      <c r="D52">
        <v>1.7819</v>
      </c>
      <c r="E52" s="1">
        <f t="shared" si="3"/>
        <v>0.44027777777777782</v>
      </c>
      <c r="F52" s="3">
        <v>46166</v>
      </c>
    </row>
    <row r="53" spans="1:6" x14ac:dyDescent="0.3">
      <c r="A53" t="s">
        <v>88</v>
      </c>
      <c r="B53">
        <v>80</v>
      </c>
      <c r="C53" s="5">
        <f t="shared" si="2"/>
        <v>1.6650000000000055E-3</v>
      </c>
      <c r="D53">
        <v>2.5171999999999999</v>
      </c>
      <c r="E53" s="1">
        <f t="shared" si="3"/>
        <v>0.44166666666666671</v>
      </c>
      <c r="F53" s="3">
        <v>46166</v>
      </c>
    </row>
    <row r="54" spans="1:6" x14ac:dyDescent="0.3">
      <c r="A54" t="s">
        <v>89</v>
      </c>
      <c r="B54">
        <v>80</v>
      </c>
      <c r="C54" s="5">
        <f t="shared" si="2"/>
        <v>9.2499999999999809E-4</v>
      </c>
      <c r="D54">
        <v>2.2852000000000001</v>
      </c>
      <c r="E54" s="1">
        <f t="shared" si="3"/>
        <v>0.44305555555555559</v>
      </c>
      <c r="F54" s="3">
        <v>46166</v>
      </c>
    </row>
    <row r="55" spans="1:6" x14ac:dyDescent="0.3">
      <c r="A55" t="s">
        <v>90</v>
      </c>
      <c r="B55">
        <v>80</v>
      </c>
      <c r="C55" s="5">
        <f t="shared" si="2"/>
        <v>1.4899999999999913E-3</v>
      </c>
      <c r="D55">
        <v>3.2593000000000001</v>
      </c>
      <c r="E55" s="1">
        <f t="shared" si="3"/>
        <v>0.44444444444444448</v>
      </c>
      <c r="F55" s="3">
        <v>46166</v>
      </c>
    </row>
    <row r="56" spans="1:6" x14ac:dyDescent="0.3">
      <c r="A56" t="s">
        <v>82</v>
      </c>
      <c r="B56">
        <f>B47+20</f>
        <v>100</v>
      </c>
      <c r="C56" s="5">
        <f t="shared" si="2"/>
        <v>8.900000000000019E-4</v>
      </c>
      <c r="D56">
        <v>1.3565</v>
      </c>
      <c r="E56" s="1">
        <f t="shared" si="3"/>
        <v>0.44861111111111118</v>
      </c>
      <c r="F56" s="3">
        <v>46166</v>
      </c>
    </row>
    <row r="57" spans="1:6" x14ac:dyDescent="0.3">
      <c r="A57" t="s">
        <v>83</v>
      </c>
      <c r="B57">
        <f t="shared" ref="B57:B120" si="4">B48+20</f>
        <v>100</v>
      </c>
      <c r="C57" s="5">
        <f t="shared" si="2"/>
        <v>3.6500000000000421E-4</v>
      </c>
      <c r="D57">
        <v>1.1451</v>
      </c>
      <c r="E57" s="1">
        <f t="shared" si="3"/>
        <v>0.44930555555555562</v>
      </c>
      <c r="F57" s="3">
        <v>46166</v>
      </c>
    </row>
    <row r="58" spans="1:6" x14ac:dyDescent="0.3">
      <c r="A58" t="s">
        <v>84</v>
      </c>
      <c r="B58">
        <f t="shared" si="4"/>
        <v>100</v>
      </c>
      <c r="C58" s="5">
        <f t="shared" si="2"/>
        <v>1.0649999999999826E-3</v>
      </c>
      <c r="D58">
        <v>2.3614000000000002</v>
      </c>
      <c r="E58" s="1">
        <f t="shared" si="3"/>
        <v>0.45000000000000007</v>
      </c>
      <c r="F58" s="3">
        <v>46166</v>
      </c>
    </row>
    <row r="59" spans="1:6" x14ac:dyDescent="0.3">
      <c r="A59" t="s">
        <v>85</v>
      </c>
      <c r="B59">
        <f t="shared" si="4"/>
        <v>100</v>
      </c>
      <c r="C59" s="5">
        <f t="shared" si="2"/>
        <v>1.1099999999999999E-3</v>
      </c>
      <c r="D59">
        <v>1.8667</v>
      </c>
      <c r="E59" s="1">
        <f t="shared" si="3"/>
        <v>0.45138888888888895</v>
      </c>
      <c r="F59" s="3">
        <v>46166</v>
      </c>
    </row>
    <row r="60" spans="1:6" x14ac:dyDescent="0.3">
      <c r="A60" t="s">
        <v>86</v>
      </c>
      <c r="B60">
        <f t="shared" si="4"/>
        <v>100</v>
      </c>
      <c r="C60" s="5">
        <f t="shared" si="2"/>
        <v>6.4999999999999498E-4</v>
      </c>
      <c r="D60">
        <v>1.2494000000000001</v>
      </c>
      <c r="E60" s="1">
        <f t="shared" si="3"/>
        <v>0.45208333333333339</v>
      </c>
      <c r="F60" s="3">
        <v>46166</v>
      </c>
    </row>
    <row r="61" spans="1:6" x14ac:dyDescent="0.3">
      <c r="A61" t="s">
        <v>87</v>
      </c>
      <c r="B61">
        <f t="shared" si="4"/>
        <v>100</v>
      </c>
      <c r="C61" s="5">
        <f t="shared" si="2"/>
        <v>8.7000000000000413E-4</v>
      </c>
      <c r="D61">
        <v>1.7645</v>
      </c>
      <c r="E61" s="1">
        <f t="shared" si="3"/>
        <v>0.45416666666666672</v>
      </c>
      <c r="F61" s="3">
        <v>46166</v>
      </c>
    </row>
    <row r="62" spans="1:6" x14ac:dyDescent="0.3">
      <c r="A62" t="s">
        <v>88</v>
      </c>
      <c r="B62">
        <f t="shared" si="4"/>
        <v>100</v>
      </c>
      <c r="C62" s="5">
        <f t="shared" si="2"/>
        <v>1.5149999999999996E-3</v>
      </c>
      <c r="D62">
        <v>2.4868999999999999</v>
      </c>
      <c r="E62" s="1">
        <f t="shared" si="3"/>
        <v>0.4555555555555556</v>
      </c>
      <c r="F62" s="3">
        <v>46166</v>
      </c>
    </row>
    <row r="63" spans="1:6" x14ac:dyDescent="0.3">
      <c r="A63" t="s">
        <v>89</v>
      </c>
      <c r="B63">
        <f t="shared" si="4"/>
        <v>100</v>
      </c>
      <c r="C63" s="5">
        <f t="shared" si="2"/>
        <v>8.3500000000000794E-4</v>
      </c>
      <c r="D63">
        <v>2.2685</v>
      </c>
      <c r="E63" s="1">
        <f t="shared" si="3"/>
        <v>0.45694444444444449</v>
      </c>
      <c r="F63" s="3">
        <v>46166</v>
      </c>
    </row>
    <row r="64" spans="1:6" x14ac:dyDescent="0.3">
      <c r="A64" t="s">
        <v>90</v>
      </c>
      <c r="B64">
        <f t="shared" si="4"/>
        <v>100</v>
      </c>
      <c r="C64" s="5">
        <f t="shared" si="2"/>
        <v>1.3750000000000151E-3</v>
      </c>
      <c r="D64">
        <v>3.2317999999999998</v>
      </c>
      <c r="E64" s="1">
        <f t="shared" si="3"/>
        <v>0.45833333333333337</v>
      </c>
      <c r="F64" s="3">
        <v>46166</v>
      </c>
    </row>
    <row r="65" spans="1:6" x14ac:dyDescent="0.3">
      <c r="A65" t="s">
        <v>82</v>
      </c>
      <c r="B65">
        <f t="shared" si="4"/>
        <v>120</v>
      </c>
      <c r="C65" s="5">
        <f t="shared" si="2"/>
        <v>9.7500000000000364E-4</v>
      </c>
      <c r="D65">
        <v>1.337</v>
      </c>
      <c r="E65" s="1">
        <f t="shared" si="3"/>
        <v>0.46250000000000008</v>
      </c>
      <c r="F65" s="3">
        <v>46166</v>
      </c>
    </row>
    <row r="66" spans="1:6" x14ac:dyDescent="0.3">
      <c r="A66" t="s">
        <v>83</v>
      </c>
      <c r="B66">
        <f t="shared" si="4"/>
        <v>120</v>
      </c>
      <c r="C66" s="5">
        <f t="shared" si="2"/>
        <v>3.8500000000000199E-4</v>
      </c>
      <c r="D66">
        <v>1.1374</v>
      </c>
      <c r="E66" s="1">
        <f t="shared" si="3"/>
        <v>0.46319444444444452</v>
      </c>
      <c r="F66" s="3">
        <v>46166</v>
      </c>
    </row>
    <row r="67" spans="1:6" x14ac:dyDescent="0.3">
      <c r="A67" t="s">
        <v>84</v>
      </c>
      <c r="B67">
        <f t="shared" si="4"/>
        <v>120</v>
      </c>
      <c r="C67" s="5">
        <f t="shared" si="2"/>
        <v>1.2500000000000178E-3</v>
      </c>
      <c r="D67">
        <v>2.3363999999999998</v>
      </c>
      <c r="E67" s="1">
        <f t="shared" si="3"/>
        <v>0.46388888888888896</v>
      </c>
      <c r="F67" s="3">
        <v>46166</v>
      </c>
    </row>
    <row r="68" spans="1:6" x14ac:dyDescent="0.3">
      <c r="A68" t="s">
        <v>85</v>
      </c>
      <c r="B68">
        <f t="shared" si="4"/>
        <v>120</v>
      </c>
      <c r="C68" s="5">
        <f t="shared" si="2"/>
        <v>9.7500000000000364E-4</v>
      </c>
      <c r="D68">
        <v>1.8472</v>
      </c>
      <c r="E68" s="1">
        <f t="shared" si="3"/>
        <v>0.46527777777777785</v>
      </c>
      <c r="F68" s="3">
        <v>46166</v>
      </c>
    </row>
    <row r="69" spans="1:6" x14ac:dyDescent="0.3">
      <c r="A69" t="s">
        <v>86</v>
      </c>
      <c r="B69">
        <f t="shared" si="4"/>
        <v>120</v>
      </c>
      <c r="C69" s="5">
        <f t="shared" si="2"/>
        <v>6.0499999999999996E-4</v>
      </c>
      <c r="D69">
        <v>1.2373000000000001</v>
      </c>
      <c r="E69" s="1">
        <f t="shared" si="3"/>
        <v>0.46597222222222229</v>
      </c>
      <c r="F69" s="3">
        <v>46166</v>
      </c>
    </row>
    <row r="70" spans="1:6" x14ac:dyDescent="0.3">
      <c r="A70" t="s">
        <v>87</v>
      </c>
      <c r="B70">
        <f t="shared" si="4"/>
        <v>120</v>
      </c>
      <c r="C70" s="5">
        <f t="shared" si="2"/>
        <v>8.3499999999999688E-4</v>
      </c>
      <c r="D70">
        <v>1.7478</v>
      </c>
      <c r="E70" s="1">
        <f t="shared" si="3"/>
        <v>0.46805555555555561</v>
      </c>
      <c r="F70" s="3">
        <v>46166</v>
      </c>
    </row>
    <row r="71" spans="1:6" x14ac:dyDescent="0.3">
      <c r="A71" t="s">
        <v>88</v>
      </c>
      <c r="B71">
        <f t="shared" si="4"/>
        <v>120</v>
      </c>
      <c r="C71" s="5">
        <f t="shared" si="2"/>
        <v>1.3700000000000045E-3</v>
      </c>
      <c r="D71">
        <v>2.4594999999999998</v>
      </c>
      <c r="E71" s="1">
        <f t="shared" si="3"/>
        <v>0.4694444444444445</v>
      </c>
      <c r="F71" s="3">
        <v>46166</v>
      </c>
    </row>
    <row r="72" spans="1:6" x14ac:dyDescent="0.3">
      <c r="A72" t="s">
        <v>89</v>
      </c>
      <c r="B72">
        <f t="shared" si="4"/>
        <v>120</v>
      </c>
      <c r="C72" s="5">
        <f t="shared" si="2"/>
        <v>9.2499999999999809E-4</v>
      </c>
      <c r="D72">
        <v>2.25</v>
      </c>
      <c r="E72" s="1">
        <f t="shared" si="3"/>
        <v>0.47083333333333338</v>
      </c>
      <c r="F72" s="3">
        <v>46166</v>
      </c>
    </row>
    <row r="73" spans="1:6" x14ac:dyDescent="0.3">
      <c r="A73" t="s">
        <v>90</v>
      </c>
      <c r="B73">
        <f t="shared" si="4"/>
        <v>120</v>
      </c>
      <c r="C73" s="5">
        <f t="shared" si="2"/>
        <v>1.2749999999999817E-3</v>
      </c>
      <c r="D73">
        <v>3.2063000000000001</v>
      </c>
      <c r="E73" s="1">
        <f t="shared" si="3"/>
        <v>0.47222222222222227</v>
      </c>
      <c r="F73" s="3">
        <v>46166</v>
      </c>
    </row>
    <row r="74" spans="1:6" x14ac:dyDescent="0.3">
      <c r="A74" t="s">
        <v>82</v>
      </c>
      <c r="B74">
        <f t="shared" si="4"/>
        <v>140</v>
      </c>
      <c r="C74" s="5">
        <f t="shared" si="2"/>
        <v>8.149999999999991E-4</v>
      </c>
      <c r="D74">
        <v>1.3207</v>
      </c>
      <c r="E74" s="1">
        <f t="shared" si="3"/>
        <v>0.47638888888888897</v>
      </c>
      <c r="F74" s="3">
        <v>46166</v>
      </c>
    </row>
    <row r="75" spans="1:6" x14ac:dyDescent="0.3">
      <c r="A75" t="s">
        <v>83</v>
      </c>
      <c r="B75">
        <f t="shared" si="4"/>
        <v>140</v>
      </c>
      <c r="C75" s="5">
        <f t="shared" si="2"/>
        <v>3.2499999999999749E-4</v>
      </c>
      <c r="D75">
        <v>1.1309</v>
      </c>
      <c r="E75" s="1">
        <f t="shared" si="3"/>
        <v>0.47708333333333341</v>
      </c>
      <c r="F75" s="3">
        <v>46166</v>
      </c>
    </row>
    <row r="76" spans="1:6" x14ac:dyDescent="0.3">
      <c r="A76" t="s">
        <v>84</v>
      </c>
      <c r="B76">
        <f t="shared" si="4"/>
        <v>140</v>
      </c>
      <c r="C76" s="5">
        <f t="shared" si="2"/>
        <v>1.2199999999999989E-3</v>
      </c>
      <c r="D76">
        <v>2.3119999999999998</v>
      </c>
      <c r="E76" s="1">
        <f t="shared" si="3"/>
        <v>0.47777777777777786</v>
      </c>
      <c r="F76" s="3">
        <v>46166</v>
      </c>
    </row>
    <row r="77" spans="1:6" x14ac:dyDescent="0.3">
      <c r="A77" t="s">
        <v>85</v>
      </c>
      <c r="B77">
        <f t="shared" si="4"/>
        <v>140</v>
      </c>
      <c r="C77" s="5">
        <f t="shared" si="2"/>
        <v>7.4499999999999567E-4</v>
      </c>
      <c r="D77">
        <v>1.8323</v>
      </c>
      <c r="E77" s="1">
        <f t="shared" si="3"/>
        <v>0.47916666666666674</v>
      </c>
      <c r="F77" s="3">
        <v>46166</v>
      </c>
    </row>
    <row r="78" spans="1:6" x14ac:dyDescent="0.3">
      <c r="A78" t="s">
        <v>86</v>
      </c>
      <c r="B78">
        <f t="shared" si="4"/>
        <v>140</v>
      </c>
      <c r="C78" s="5">
        <f t="shared" si="2"/>
        <v>6.0499999999999996E-4</v>
      </c>
      <c r="D78">
        <v>1.2252000000000001</v>
      </c>
      <c r="E78" s="1">
        <f t="shared" si="3"/>
        <v>0.47986111111111118</v>
      </c>
      <c r="F78" s="3">
        <v>46166</v>
      </c>
    </row>
    <row r="79" spans="1:6" x14ac:dyDescent="0.3">
      <c r="A79" t="s">
        <v>87</v>
      </c>
      <c r="B79">
        <f t="shared" si="4"/>
        <v>140</v>
      </c>
      <c r="C79" s="5">
        <f t="shared" si="2"/>
        <v>7.0500000000000011E-4</v>
      </c>
      <c r="D79">
        <v>1.7337</v>
      </c>
      <c r="E79" s="1">
        <f t="shared" si="3"/>
        <v>0.48194444444444451</v>
      </c>
      <c r="F79" s="3">
        <v>46166</v>
      </c>
    </row>
    <row r="80" spans="1:6" x14ac:dyDescent="0.3">
      <c r="A80" t="s">
        <v>88</v>
      </c>
      <c r="B80">
        <f t="shared" si="4"/>
        <v>140</v>
      </c>
      <c r="C80" s="5">
        <f t="shared" si="2"/>
        <v>1.29999999999999E-3</v>
      </c>
      <c r="D80">
        <v>2.4335</v>
      </c>
      <c r="E80" s="1">
        <f t="shared" si="3"/>
        <v>0.48333333333333339</v>
      </c>
      <c r="F80" s="3">
        <v>46166</v>
      </c>
    </row>
    <row r="81" spans="1:6" x14ac:dyDescent="0.3">
      <c r="A81" t="s">
        <v>89</v>
      </c>
      <c r="B81">
        <f t="shared" si="4"/>
        <v>140</v>
      </c>
      <c r="C81" s="5">
        <f t="shared" si="2"/>
        <v>8.4500000000000688E-4</v>
      </c>
      <c r="D81">
        <v>2.2330999999999999</v>
      </c>
      <c r="E81" s="1">
        <f t="shared" si="3"/>
        <v>0.48472222222222228</v>
      </c>
      <c r="F81" s="3">
        <v>46166</v>
      </c>
    </row>
    <row r="82" spans="1:6" x14ac:dyDescent="0.3">
      <c r="A82" t="s">
        <v>90</v>
      </c>
      <c r="B82">
        <f t="shared" si="4"/>
        <v>140</v>
      </c>
      <c r="C82" s="5">
        <f t="shared" si="2"/>
        <v>1.2950000000000017E-3</v>
      </c>
      <c r="D82">
        <v>3.1804000000000001</v>
      </c>
      <c r="E82" s="1">
        <f t="shared" si="3"/>
        <v>0.48611111111111116</v>
      </c>
      <c r="F82" s="3">
        <v>46166</v>
      </c>
    </row>
    <row r="83" spans="1:6" x14ac:dyDescent="0.3">
      <c r="A83" t="s">
        <v>82</v>
      </c>
      <c r="B83">
        <f t="shared" si="4"/>
        <v>160</v>
      </c>
      <c r="C83" s="5">
        <f t="shared" si="2"/>
        <v>8.6500000000000465E-4</v>
      </c>
      <c r="D83">
        <v>1.3033999999999999</v>
      </c>
      <c r="E83" s="1">
        <f t="shared" si="3"/>
        <v>0.49027777777777787</v>
      </c>
      <c r="F83" s="3">
        <v>46166</v>
      </c>
    </row>
    <row r="84" spans="1:6" x14ac:dyDescent="0.3">
      <c r="A84" t="s">
        <v>83</v>
      </c>
      <c r="B84">
        <f t="shared" si="4"/>
        <v>160</v>
      </c>
      <c r="C84" s="5">
        <f t="shared" si="2"/>
        <v>3.5500000000000532E-4</v>
      </c>
      <c r="D84">
        <v>1.1237999999999999</v>
      </c>
      <c r="E84" s="1">
        <f t="shared" si="3"/>
        <v>0.49097222222222231</v>
      </c>
      <c r="F84" s="3">
        <v>46166</v>
      </c>
    </row>
    <row r="85" spans="1:6" x14ac:dyDescent="0.3">
      <c r="A85" t="s">
        <v>84</v>
      </c>
      <c r="B85">
        <f t="shared" si="4"/>
        <v>160</v>
      </c>
      <c r="C85" s="5">
        <f t="shared" ref="C85:C148" si="5">((D76-D85))/20</f>
        <v>8.3499999999998571E-4</v>
      </c>
      <c r="D85">
        <v>2.2953000000000001</v>
      </c>
      <c r="E85" s="1">
        <f t="shared" ref="E85:E148" si="6">E76+(20/1440)</f>
        <v>0.49166666666666675</v>
      </c>
      <c r="F85" s="3">
        <v>46166</v>
      </c>
    </row>
    <row r="86" spans="1:6" x14ac:dyDescent="0.3">
      <c r="A86" t="s">
        <v>85</v>
      </c>
      <c r="B86">
        <f t="shared" si="4"/>
        <v>160</v>
      </c>
      <c r="C86" s="5">
        <f t="shared" si="5"/>
        <v>7.500000000000062E-4</v>
      </c>
      <c r="D86">
        <v>1.8172999999999999</v>
      </c>
      <c r="E86" s="1">
        <f t="shared" si="6"/>
        <v>0.49305555555555564</v>
      </c>
      <c r="F86" s="3">
        <v>46166</v>
      </c>
    </row>
    <row r="87" spans="1:6" x14ac:dyDescent="0.3">
      <c r="A87" t="s">
        <v>86</v>
      </c>
      <c r="B87">
        <f t="shared" si="4"/>
        <v>160</v>
      </c>
      <c r="C87" s="5">
        <f t="shared" si="5"/>
        <v>6.4000000000000721E-4</v>
      </c>
      <c r="D87">
        <v>1.2123999999999999</v>
      </c>
      <c r="E87" s="1">
        <f t="shared" si="6"/>
        <v>0.49375000000000008</v>
      </c>
      <c r="F87" s="3">
        <v>46166</v>
      </c>
    </row>
    <row r="88" spans="1:6" x14ac:dyDescent="0.3">
      <c r="A88" t="s">
        <v>87</v>
      </c>
      <c r="B88">
        <f t="shared" si="4"/>
        <v>160</v>
      </c>
      <c r="C88" s="5">
        <f t="shared" si="5"/>
        <v>8.149999999999991E-4</v>
      </c>
      <c r="D88">
        <v>1.7174</v>
      </c>
      <c r="E88" s="1">
        <f t="shared" si="6"/>
        <v>0.4958333333333334</v>
      </c>
      <c r="F88" s="3">
        <v>46166</v>
      </c>
    </row>
    <row r="89" spans="1:6" x14ac:dyDescent="0.3">
      <c r="A89" t="s">
        <v>88</v>
      </c>
      <c r="B89">
        <f t="shared" si="4"/>
        <v>160</v>
      </c>
      <c r="C89" s="5">
        <f t="shared" si="5"/>
        <v>1.2599999999999944E-3</v>
      </c>
      <c r="D89">
        <v>2.4083000000000001</v>
      </c>
      <c r="E89" s="1">
        <f t="shared" si="6"/>
        <v>0.49722222222222229</v>
      </c>
      <c r="F89" s="3">
        <v>46166</v>
      </c>
    </row>
    <row r="90" spans="1:6" x14ac:dyDescent="0.3">
      <c r="A90" t="s">
        <v>89</v>
      </c>
      <c r="B90">
        <f t="shared" si="4"/>
        <v>160</v>
      </c>
      <c r="C90" s="5">
        <f t="shared" si="5"/>
        <v>8.8500000000000243E-4</v>
      </c>
      <c r="D90">
        <v>2.2153999999999998</v>
      </c>
      <c r="E90" s="1">
        <f t="shared" si="6"/>
        <v>0.49861111111111117</v>
      </c>
      <c r="F90" s="3">
        <v>46166</v>
      </c>
    </row>
    <row r="91" spans="1:6" x14ac:dyDescent="0.3">
      <c r="A91" t="s">
        <v>90</v>
      </c>
      <c r="B91">
        <f t="shared" si="4"/>
        <v>160</v>
      </c>
      <c r="C91" s="5">
        <f t="shared" si="5"/>
        <v>1.2550000000000061E-3</v>
      </c>
      <c r="D91">
        <v>3.1553</v>
      </c>
      <c r="E91" s="1">
        <f t="shared" si="6"/>
        <v>0.5</v>
      </c>
      <c r="F91" s="3">
        <v>46166</v>
      </c>
    </row>
    <row r="92" spans="1:6" x14ac:dyDescent="0.3">
      <c r="A92" t="s">
        <v>82</v>
      </c>
      <c r="B92">
        <f t="shared" si="4"/>
        <v>180</v>
      </c>
      <c r="C92" s="5">
        <f t="shared" si="5"/>
        <v>8.3999999999999635E-4</v>
      </c>
      <c r="D92">
        <v>1.2866</v>
      </c>
      <c r="E92" s="1">
        <f t="shared" si="6"/>
        <v>0.50416666666666676</v>
      </c>
      <c r="F92" s="3">
        <v>46166</v>
      </c>
    </row>
    <row r="93" spans="1:6" x14ac:dyDescent="0.3">
      <c r="A93" t="s">
        <v>83</v>
      </c>
      <c r="B93">
        <f t="shared" si="4"/>
        <v>180</v>
      </c>
      <c r="C93" s="5">
        <f t="shared" si="5"/>
        <v>3.2499999999999749E-4</v>
      </c>
      <c r="D93">
        <v>1.1173</v>
      </c>
      <c r="E93" s="1">
        <f t="shared" si="6"/>
        <v>0.5048611111111112</v>
      </c>
      <c r="F93" s="3">
        <v>46166</v>
      </c>
    </row>
    <row r="94" spans="1:6" x14ac:dyDescent="0.3">
      <c r="A94" t="s">
        <v>84</v>
      </c>
      <c r="B94">
        <f t="shared" si="4"/>
        <v>180</v>
      </c>
      <c r="C94" s="5">
        <f t="shared" si="5"/>
        <v>7.8000000000000291E-4</v>
      </c>
      <c r="D94">
        <v>2.2797000000000001</v>
      </c>
      <c r="E94" s="1">
        <f t="shared" si="6"/>
        <v>0.50555555555555565</v>
      </c>
      <c r="F94" s="3">
        <v>46166</v>
      </c>
    </row>
    <row r="95" spans="1:6" x14ac:dyDescent="0.3">
      <c r="A95" t="s">
        <v>85</v>
      </c>
      <c r="B95">
        <f t="shared" si="4"/>
        <v>180</v>
      </c>
      <c r="C95" s="5">
        <f t="shared" si="5"/>
        <v>6.7499999999999223E-4</v>
      </c>
      <c r="D95">
        <v>1.8038000000000001</v>
      </c>
      <c r="E95" s="1">
        <f t="shared" si="6"/>
        <v>0.50694444444444453</v>
      </c>
      <c r="F95" s="3">
        <v>46166</v>
      </c>
    </row>
    <row r="96" spans="1:6" x14ac:dyDescent="0.3">
      <c r="A96" t="s">
        <v>86</v>
      </c>
      <c r="B96">
        <f t="shared" si="4"/>
        <v>180</v>
      </c>
      <c r="C96" s="5">
        <f t="shared" si="5"/>
        <v>5.9000000000000166E-4</v>
      </c>
      <c r="D96">
        <v>1.2005999999999999</v>
      </c>
      <c r="E96" s="1">
        <f t="shared" si="6"/>
        <v>0.50763888888888897</v>
      </c>
      <c r="F96" s="3">
        <v>46166</v>
      </c>
    </row>
    <row r="97" spans="1:6" x14ac:dyDescent="0.3">
      <c r="A97" t="s">
        <v>87</v>
      </c>
      <c r="B97">
        <f t="shared" si="4"/>
        <v>180</v>
      </c>
      <c r="C97" s="5">
        <f t="shared" si="5"/>
        <v>8.2499999999999794E-4</v>
      </c>
      <c r="D97">
        <v>1.7009000000000001</v>
      </c>
      <c r="E97" s="1">
        <f t="shared" si="6"/>
        <v>0.5097222222222223</v>
      </c>
      <c r="F97" s="3">
        <v>46166</v>
      </c>
    </row>
    <row r="98" spans="1:6" x14ac:dyDescent="0.3">
      <c r="A98" t="s">
        <v>88</v>
      </c>
      <c r="B98">
        <f t="shared" si="4"/>
        <v>180</v>
      </c>
      <c r="C98" s="5">
        <f t="shared" si="5"/>
        <v>1.2800000000000144E-3</v>
      </c>
      <c r="D98">
        <v>2.3826999999999998</v>
      </c>
      <c r="E98" s="1">
        <f t="shared" si="6"/>
        <v>0.51111111111111118</v>
      </c>
      <c r="F98" s="3">
        <v>46166</v>
      </c>
    </row>
    <row r="99" spans="1:6" x14ac:dyDescent="0.3">
      <c r="A99" t="s">
        <v>89</v>
      </c>
      <c r="B99">
        <f t="shared" si="4"/>
        <v>180</v>
      </c>
      <c r="C99" s="5">
        <f t="shared" si="5"/>
        <v>8.1499999999998793E-4</v>
      </c>
      <c r="D99">
        <v>2.1991000000000001</v>
      </c>
      <c r="E99" s="1">
        <f t="shared" si="6"/>
        <v>0.51250000000000007</v>
      </c>
      <c r="F99" s="3">
        <v>46166</v>
      </c>
    </row>
    <row r="100" spans="1:6" x14ac:dyDescent="0.3">
      <c r="A100" t="s">
        <v>90</v>
      </c>
      <c r="B100">
        <f t="shared" si="4"/>
        <v>180</v>
      </c>
      <c r="C100" s="5">
        <f t="shared" si="5"/>
        <v>1.2049999999999895E-3</v>
      </c>
      <c r="D100">
        <v>3.1312000000000002</v>
      </c>
      <c r="E100" s="1">
        <f t="shared" si="6"/>
        <v>0.51388888888888884</v>
      </c>
      <c r="F100" s="3">
        <v>46166</v>
      </c>
    </row>
    <row r="101" spans="1:6" x14ac:dyDescent="0.3">
      <c r="A101" t="s">
        <v>82</v>
      </c>
      <c r="B101">
        <f t="shared" si="4"/>
        <v>200</v>
      </c>
      <c r="C101" s="5">
        <f t="shared" si="5"/>
        <v>8.3999999999999635E-4</v>
      </c>
      <c r="D101">
        <v>1.2698</v>
      </c>
      <c r="E101" s="1">
        <f t="shared" si="6"/>
        <v>0.5180555555555556</v>
      </c>
      <c r="F101" s="3">
        <v>46166</v>
      </c>
    </row>
    <row r="102" spans="1:6" x14ac:dyDescent="0.3">
      <c r="A102" t="s">
        <v>83</v>
      </c>
      <c r="B102">
        <f t="shared" si="4"/>
        <v>200</v>
      </c>
      <c r="C102" s="5">
        <f t="shared" si="5"/>
        <v>3.1999999999999807E-4</v>
      </c>
      <c r="D102">
        <v>1.1109</v>
      </c>
      <c r="E102" s="1">
        <f t="shared" si="6"/>
        <v>0.51875000000000004</v>
      </c>
      <c r="F102" s="3">
        <v>46166</v>
      </c>
    </row>
    <row r="103" spans="1:6" x14ac:dyDescent="0.3">
      <c r="A103" t="s">
        <v>84</v>
      </c>
      <c r="B103">
        <f t="shared" si="4"/>
        <v>200</v>
      </c>
      <c r="C103" s="5">
        <f t="shared" si="5"/>
        <v>7.9000000000000186E-4</v>
      </c>
      <c r="D103">
        <v>2.2639</v>
      </c>
      <c r="E103" s="1">
        <f t="shared" si="6"/>
        <v>0.51944444444444449</v>
      </c>
      <c r="F103" s="3">
        <v>46166</v>
      </c>
    </row>
    <row r="104" spans="1:6" x14ac:dyDescent="0.3">
      <c r="A104" t="s">
        <v>85</v>
      </c>
      <c r="B104">
        <f t="shared" si="4"/>
        <v>200</v>
      </c>
      <c r="C104" s="5">
        <f t="shared" si="5"/>
        <v>6.4000000000000721E-4</v>
      </c>
      <c r="D104">
        <v>1.7909999999999999</v>
      </c>
      <c r="E104" s="1">
        <f t="shared" si="6"/>
        <v>0.52083333333333337</v>
      </c>
      <c r="F104" s="3">
        <v>46166</v>
      </c>
    </row>
    <row r="105" spans="1:6" x14ac:dyDescent="0.3">
      <c r="A105" t="s">
        <v>86</v>
      </c>
      <c r="B105">
        <f t="shared" si="4"/>
        <v>200</v>
      </c>
      <c r="C105" s="5">
        <f t="shared" si="5"/>
        <v>6.2999999999999721E-4</v>
      </c>
      <c r="D105">
        <v>1.1879999999999999</v>
      </c>
      <c r="E105" s="1">
        <f t="shared" si="6"/>
        <v>0.52152777777777781</v>
      </c>
      <c r="F105" s="3">
        <v>46166</v>
      </c>
    </row>
    <row r="106" spans="1:6" x14ac:dyDescent="0.3">
      <c r="A106" t="s">
        <v>87</v>
      </c>
      <c r="B106">
        <f t="shared" si="4"/>
        <v>200</v>
      </c>
      <c r="C106" s="5">
        <f t="shared" si="5"/>
        <v>7.4500000000000672E-4</v>
      </c>
      <c r="D106">
        <v>1.6859999999999999</v>
      </c>
      <c r="E106" s="1">
        <f t="shared" si="6"/>
        <v>0.52361111111111114</v>
      </c>
      <c r="F106" s="3">
        <v>46166</v>
      </c>
    </row>
    <row r="107" spans="1:6" x14ac:dyDescent="0.3">
      <c r="A107" t="s">
        <v>88</v>
      </c>
      <c r="B107">
        <f t="shared" si="4"/>
        <v>200</v>
      </c>
      <c r="C107" s="5">
        <f t="shared" si="5"/>
        <v>1.3399999999999857E-3</v>
      </c>
      <c r="D107">
        <v>2.3559000000000001</v>
      </c>
      <c r="E107" s="1">
        <f t="shared" si="6"/>
        <v>0.52500000000000002</v>
      </c>
      <c r="F107" s="3">
        <v>46166</v>
      </c>
    </row>
    <row r="108" spans="1:6" x14ac:dyDescent="0.3">
      <c r="A108" t="s">
        <v>89</v>
      </c>
      <c r="B108">
        <f t="shared" si="4"/>
        <v>200</v>
      </c>
      <c r="C108" s="5">
        <f t="shared" si="5"/>
        <v>7.7499999999999238E-4</v>
      </c>
      <c r="D108">
        <v>2.1836000000000002</v>
      </c>
      <c r="E108" s="1">
        <f t="shared" si="6"/>
        <v>0.52638888888888891</v>
      </c>
      <c r="F108" s="3">
        <v>46166</v>
      </c>
    </row>
    <row r="109" spans="1:6" x14ac:dyDescent="0.3">
      <c r="A109" t="s">
        <v>90</v>
      </c>
      <c r="B109">
        <f t="shared" si="4"/>
        <v>200</v>
      </c>
      <c r="C109" s="5">
        <f t="shared" si="5"/>
        <v>1.2050000000000116E-3</v>
      </c>
      <c r="D109">
        <v>3.1071</v>
      </c>
      <c r="E109" s="1">
        <f t="shared" si="6"/>
        <v>0.52777777777777768</v>
      </c>
      <c r="F109" s="3">
        <v>46166</v>
      </c>
    </row>
    <row r="110" spans="1:6" x14ac:dyDescent="0.3">
      <c r="A110" t="s">
        <v>82</v>
      </c>
      <c r="B110">
        <f t="shared" si="4"/>
        <v>220</v>
      </c>
      <c r="C110" s="5">
        <f t="shared" si="5"/>
        <v>8.6000000000000518E-4</v>
      </c>
      <c r="D110">
        <v>1.2525999999999999</v>
      </c>
      <c r="E110" s="1">
        <f t="shared" si="6"/>
        <v>0.53194444444444444</v>
      </c>
      <c r="F110" s="3">
        <v>46166</v>
      </c>
    </row>
    <row r="111" spans="1:6" x14ac:dyDescent="0.3">
      <c r="A111" t="s">
        <v>83</v>
      </c>
      <c r="B111">
        <f t="shared" si="4"/>
        <v>220</v>
      </c>
      <c r="C111" s="5">
        <f t="shared" si="5"/>
        <v>3.5500000000000532E-4</v>
      </c>
      <c r="D111">
        <v>1.1037999999999999</v>
      </c>
      <c r="E111" s="1">
        <f t="shared" si="6"/>
        <v>0.53263888888888888</v>
      </c>
      <c r="F111" s="3">
        <v>46166</v>
      </c>
    </row>
    <row r="112" spans="1:6" x14ac:dyDescent="0.3">
      <c r="A112" t="s">
        <v>84</v>
      </c>
      <c r="B112">
        <f t="shared" si="4"/>
        <v>220</v>
      </c>
      <c r="C112" s="5">
        <f t="shared" si="5"/>
        <v>8.6500000000000465E-4</v>
      </c>
      <c r="D112">
        <v>2.2465999999999999</v>
      </c>
      <c r="E112" s="1">
        <f t="shared" si="6"/>
        <v>0.53333333333333333</v>
      </c>
      <c r="F112" s="3">
        <v>46166</v>
      </c>
    </row>
    <row r="113" spans="1:6" x14ac:dyDescent="0.3">
      <c r="A113" t="s">
        <v>85</v>
      </c>
      <c r="B113">
        <f t="shared" si="4"/>
        <v>220</v>
      </c>
      <c r="C113" s="5">
        <f t="shared" si="5"/>
        <v>6.649999999999934E-4</v>
      </c>
      <c r="D113">
        <v>1.7777000000000001</v>
      </c>
      <c r="E113" s="1">
        <f t="shared" si="6"/>
        <v>0.53472222222222221</v>
      </c>
      <c r="F113" s="3">
        <v>46166</v>
      </c>
    </row>
    <row r="114" spans="1:6" x14ac:dyDescent="0.3">
      <c r="A114" t="s">
        <v>86</v>
      </c>
      <c r="B114">
        <f t="shared" si="4"/>
        <v>220</v>
      </c>
      <c r="C114" s="5">
        <f t="shared" si="5"/>
        <v>5.8000000000000271E-4</v>
      </c>
      <c r="D114">
        <v>1.1763999999999999</v>
      </c>
      <c r="E114" s="1">
        <f t="shared" si="6"/>
        <v>0.53541666666666665</v>
      </c>
      <c r="F114" s="3">
        <v>46166</v>
      </c>
    </row>
    <row r="115" spans="1:6" x14ac:dyDescent="0.3">
      <c r="A115" t="s">
        <v>87</v>
      </c>
      <c r="B115">
        <f t="shared" si="4"/>
        <v>220</v>
      </c>
      <c r="C115" s="5">
        <f t="shared" si="5"/>
        <v>7.4499999999999567E-4</v>
      </c>
      <c r="D115">
        <v>1.6711</v>
      </c>
      <c r="E115" s="1">
        <f t="shared" si="6"/>
        <v>0.53749999999999998</v>
      </c>
      <c r="F115" s="3">
        <v>46166</v>
      </c>
    </row>
    <row r="116" spans="1:6" x14ac:dyDescent="0.3">
      <c r="A116" t="s">
        <v>88</v>
      </c>
      <c r="B116">
        <f t="shared" si="4"/>
        <v>220</v>
      </c>
      <c r="C116" s="5">
        <f t="shared" si="5"/>
        <v>1.1500000000000065E-3</v>
      </c>
      <c r="D116">
        <v>2.3329</v>
      </c>
      <c r="E116" s="1">
        <f t="shared" si="6"/>
        <v>0.53888888888888886</v>
      </c>
      <c r="F116" s="3">
        <v>46166</v>
      </c>
    </row>
    <row r="117" spans="1:6" x14ac:dyDescent="0.3">
      <c r="A117" t="s">
        <v>89</v>
      </c>
      <c r="B117">
        <f t="shared" si="4"/>
        <v>220</v>
      </c>
      <c r="C117" s="5">
        <f t="shared" si="5"/>
        <v>7.9000000000000186E-4</v>
      </c>
      <c r="D117">
        <v>2.1678000000000002</v>
      </c>
      <c r="E117" s="1">
        <f t="shared" si="6"/>
        <v>0.54027777777777775</v>
      </c>
      <c r="F117" s="3">
        <v>46166</v>
      </c>
    </row>
    <row r="118" spans="1:6" x14ac:dyDescent="0.3">
      <c r="A118" t="s">
        <v>90</v>
      </c>
      <c r="B118">
        <f t="shared" si="4"/>
        <v>220</v>
      </c>
      <c r="C118" s="5">
        <f t="shared" si="5"/>
        <v>1.0750000000000037E-3</v>
      </c>
      <c r="D118">
        <v>3.0855999999999999</v>
      </c>
      <c r="E118" s="1">
        <f t="shared" si="6"/>
        <v>0.54166666666666652</v>
      </c>
      <c r="F118" s="3">
        <v>46166</v>
      </c>
    </row>
    <row r="119" spans="1:6" x14ac:dyDescent="0.3">
      <c r="A119" t="s">
        <v>82</v>
      </c>
      <c r="B119">
        <f t="shared" si="4"/>
        <v>240</v>
      </c>
      <c r="C119" s="5">
        <f t="shared" si="5"/>
        <v>7.1999999999999842E-4</v>
      </c>
      <c r="D119">
        <v>1.2382</v>
      </c>
      <c r="E119" s="1">
        <f t="shared" si="6"/>
        <v>0.54583333333333328</v>
      </c>
      <c r="F119" s="3">
        <v>46166</v>
      </c>
    </row>
    <row r="120" spans="1:6" x14ac:dyDescent="0.3">
      <c r="A120" t="s">
        <v>83</v>
      </c>
      <c r="B120">
        <f t="shared" si="4"/>
        <v>240</v>
      </c>
      <c r="C120" s="5">
        <f t="shared" si="5"/>
        <v>3.0499999999999972E-4</v>
      </c>
      <c r="D120">
        <v>1.0976999999999999</v>
      </c>
      <c r="E120" s="1">
        <f t="shared" si="6"/>
        <v>0.54652777777777772</v>
      </c>
      <c r="F120" s="3">
        <v>46166</v>
      </c>
    </row>
    <row r="121" spans="1:6" x14ac:dyDescent="0.3">
      <c r="A121" t="s">
        <v>84</v>
      </c>
      <c r="B121">
        <f t="shared" ref="B121:B136" si="7">B112+20</f>
        <v>240</v>
      </c>
      <c r="C121" s="5">
        <f t="shared" si="5"/>
        <v>6.8999999999999064E-4</v>
      </c>
      <c r="D121">
        <v>2.2328000000000001</v>
      </c>
      <c r="E121" s="1">
        <f t="shared" si="6"/>
        <v>0.54722222222222217</v>
      </c>
      <c r="F121" s="3">
        <v>46166</v>
      </c>
    </row>
    <row r="122" spans="1:6" x14ac:dyDescent="0.3">
      <c r="A122" t="s">
        <v>85</v>
      </c>
      <c r="B122">
        <f t="shared" si="7"/>
        <v>240</v>
      </c>
      <c r="C122" s="5">
        <f t="shared" si="5"/>
        <v>5.7500000000000324E-4</v>
      </c>
      <c r="D122">
        <v>1.7662</v>
      </c>
      <c r="E122" s="1">
        <f t="shared" si="6"/>
        <v>0.54861111111111105</v>
      </c>
      <c r="F122" s="3">
        <v>46166</v>
      </c>
    </row>
    <row r="123" spans="1:6" x14ac:dyDescent="0.3">
      <c r="A123" t="s">
        <v>86</v>
      </c>
      <c r="B123">
        <f t="shared" si="7"/>
        <v>240</v>
      </c>
      <c r="C123" s="5">
        <f t="shared" si="5"/>
        <v>5.4999999999999494E-4</v>
      </c>
      <c r="D123">
        <v>1.1654</v>
      </c>
      <c r="E123" s="1">
        <f t="shared" si="6"/>
        <v>0.54930555555555549</v>
      </c>
      <c r="F123" s="3">
        <v>46166</v>
      </c>
    </row>
    <row r="124" spans="1:6" x14ac:dyDescent="0.3">
      <c r="A124" t="s">
        <v>87</v>
      </c>
      <c r="B124">
        <f t="shared" si="7"/>
        <v>240</v>
      </c>
      <c r="C124" s="5">
        <f t="shared" si="5"/>
        <v>6.4500000000000668E-4</v>
      </c>
      <c r="D124">
        <v>1.6581999999999999</v>
      </c>
      <c r="E124" s="1">
        <f t="shared" si="6"/>
        <v>0.55138888888888882</v>
      </c>
      <c r="F124" s="3">
        <v>46166</v>
      </c>
    </row>
    <row r="125" spans="1:6" x14ac:dyDescent="0.3">
      <c r="A125" t="s">
        <v>88</v>
      </c>
      <c r="B125">
        <f t="shared" si="7"/>
        <v>240</v>
      </c>
      <c r="C125" s="5">
        <f t="shared" si="5"/>
        <v>1.1949999999999906E-3</v>
      </c>
      <c r="D125">
        <v>2.3090000000000002</v>
      </c>
      <c r="E125" s="1">
        <f t="shared" si="6"/>
        <v>0.5527777777777777</v>
      </c>
      <c r="F125" s="3">
        <v>46166</v>
      </c>
    </row>
    <row r="126" spans="1:6" x14ac:dyDescent="0.3">
      <c r="A126" t="s">
        <v>89</v>
      </c>
      <c r="B126">
        <f t="shared" si="7"/>
        <v>240</v>
      </c>
      <c r="C126" s="5">
        <f t="shared" si="5"/>
        <v>6.250000000000089E-4</v>
      </c>
      <c r="D126">
        <v>2.1553</v>
      </c>
      <c r="E126" s="1">
        <f t="shared" si="6"/>
        <v>0.55416666666666659</v>
      </c>
      <c r="F126" s="3">
        <v>46166</v>
      </c>
    </row>
    <row r="127" spans="1:6" x14ac:dyDescent="0.3">
      <c r="A127" t="s">
        <v>90</v>
      </c>
      <c r="B127">
        <f t="shared" si="7"/>
        <v>240</v>
      </c>
      <c r="C127" s="5">
        <f t="shared" si="5"/>
        <v>1.1199999999999878E-3</v>
      </c>
      <c r="D127">
        <v>3.0632000000000001</v>
      </c>
      <c r="E127" s="1">
        <f t="shared" si="6"/>
        <v>0.55555555555555536</v>
      </c>
      <c r="F127" s="3">
        <v>46166</v>
      </c>
    </row>
    <row r="128" spans="1:6" x14ac:dyDescent="0.3">
      <c r="A128" t="s">
        <v>82</v>
      </c>
      <c r="B128">
        <f t="shared" si="7"/>
        <v>260</v>
      </c>
      <c r="C128" s="5">
        <f t="shared" si="5"/>
        <v>6.8500000000000223E-4</v>
      </c>
      <c r="D128">
        <v>1.2244999999999999</v>
      </c>
      <c r="E128" s="1">
        <f t="shared" si="6"/>
        <v>0.55972222222222212</v>
      </c>
      <c r="F128" s="3">
        <v>46166</v>
      </c>
    </row>
    <row r="129" spans="1:6" x14ac:dyDescent="0.3">
      <c r="A129" t="s">
        <v>83</v>
      </c>
      <c r="B129">
        <f t="shared" si="7"/>
        <v>260</v>
      </c>
      <c r="C129" s="5">
        <f t="shared" si="5"/>
        <v>3.2499999999999749E-4</v>
      </c>
      <c r="D129">
        <v>1.0911999999999999</v>
      </c>
      <c r="E129" s="1">
        <f t="shared" si="6"/>
        <v>0.56041666666666656</v>
      </c>
      <c r="F129" s="3">
        <v>46166</v>
      </c>
    </row>
    <row r="130" spans="1:6" x14ac:dyDescent="0.3">
      <c r="A130" t="s">
        <v>84</v>
      </c>
      <c r="B130">
        <f t="shared" si="7"/>
        <v>260</v>
      </c>
      <c r="C130" s="5">
        <f t="shared" si="5"/>
        <v>6.8500000000000223E-4</v>
      </c>
      <c r="D130">
        <v>2.2191000000000001</v>
      </c>
      <c r="E130" s="1">
        <f t="shared" si="6"/>
        <v>0.56111111111111101</v>
      </c>
      <c r="F130" s="3">
        <v>46166</v>
      </c>
    </row>
    <row r="131" spans="1:6" x14ac:dyDescent="0.3">
      <c r="A131" t="s">
        <v>85</v>
      </c>
      <c r="B131">
        <f t="shared" si="7"/>
        <v>260</v>
      </c>
      <c r="C131" s="5">
        <f t="shared" si="5"/>
        <v>5.39999999999996E-4</v>
      </c>
      <c r="D131">
        <v>1.7554000000000001</v>
      </c>
      <c r="E131" s="1">
        <f t="shared" si="6"/>
        <v>0.56249999999999989</v>
      </c>
      <c r="F131" s="3">
        <v>46166</v>
      </c>
    </row>
    <row r="132" spans="1:6" x14ac:dyDescent="0.3">
      <c r="A132" t="s">
        <v>86</v>
      </c>
      <c r="B132">
        <f t="shared" si="7"/>
        <v>260</v>
      </c>
      <c r="C132" s="5">
        <f t="shared" si="5"/>
        <v>5.1999999999999822E-4</v>
      </c>
      <c r="D132">
        <v>1.155</v>
      </c>
      <c r="E132" s="1">
        <f t="shared" si="6"/>
        <v>0.56319444444444433</v>
      </c>
      <c r="F132" s="3">
        <v>46166</v>
      </c>
    </row>
    <row r="133" spans="1:6" x14ac:dyDescent="0.3">
      <c r="A133" t="s">
        <v>87</v>
      </c>
      <c r="B133">
        <f t="shared" si="7"/>
        <v>260</v>
      </c>
      <c r="C133" s="5">
        <f t="shared" si="5"/>
        <v>6.6999999999999287E-4</v>
      </c>
      <c r="D133">
        <v>1.6448</v>
      </c>
      <c r="E133" s="1">
        <f t="shared" si="6"/>
        <v>0.56527777777777766</v>
      </c>
      <c r="F133" s="3">
        <v>46166</v>
      </c>
    </row>
    <row r="134" spans="1:6" x14ac:dyDescent="0.3">
      <c r="A134" t="s">
        <v>88</v>
      </c>
      <c r="B134">
        <f t="shared" si="7"/>
        <v>260</v>
      </c>
      <c r="C134" s="5">
        <f t="shared" si="5"/>
        <v>1.0800000000000143E-3</v>
      </c>
      <c r="D134">
        <v>2.2873999999999999</v>
      </c>
      <c r="E134" s="1">
        <f t="shared" si="6"/>
        <v>0.56666666666666654</v>
      </c>
      <c r="F134" s="3">
        <v>46166</v>
      </c>
    </row>
    <row r="135" spans="1:6" x14ac:dyDescent="0.3">
      <c r="A135" t="s">
        <v>89</v>
      </c>
      <c r="B135">
        <f t="shared" si="7"/>
        <v>260</v>
      </c>
      <c r="C135" s="5">
        <f t="shared" si="5"/>
        <v>6.250000000000089E-4</v>
      </c>
      <c r="D135">
        <v>2.1427999999999998</v>
      </c>
      <c r="E135" s="1">
        <f t="shared" si="6"/>
        <v>0.56805555555555542</v>
      </c>
      <c r="F135" s="3">
        <v>46166</v>
      </c>
    </row>
    <row r="136" spans="1:6" x14ac:dyDescent="0.3">
      <c r="A136" t="s">
        <v>90</v>
      </c>
      <c r="B136">
        <f t="shared" si="7"/>
        <v>260</v>
      </c>
      <c r="C136" s="5">
        <f t="shared" si="5"/>
        <v>1.0199999999999988E-3</v>
      </c>
      <c r="D136">
        <v>3.0428000000000002</v>
      </c>
      <c r="E136" s="1">
        <f t="shared" si="6"/>
        <v>0.5694444444444442</v>
      </c>
      <c r="F136" s="3">
        <v>46166</v>
      </c>
    </row>
    <row r="137" spans="1:6" x14ac:dyDescent="0.3">
      <c r="C137" s="5">
        <f t="shared" si="5"/>
        <v>6.1224999999999995E-2</v>
      </c>
      <c r="E137" s="1">
        <f t="shared" si="6"/>
        <v>0.57361111111111096</v>
      </c>
      <c r="F137" s="3">
        <v>46166</v>
      </c>
    </row>
    <row r="138" spans="1:6" x14ac:dyDescent="0.3">
      <c r="C138" s="5">
        <f t="shared" si="5"/>
        <v>5.4559999999999997E-2</v>
      </c>
      <c r="E138" s="1">
        <f t="shared" si="6"/>
        <v>0.5743055555555554</v>
      </c>
      <c r="F138" s="3">
        <v>46166</v>
      </c>
    </row>
    <row r="139" spans="1:6" x14ac:dyDescent="0.3">
      <c r="C139" s="5">
        <f t="shared" si="5"/>
        <v>0.110955</v>
      </c>
      <c r="E139" s="1">
        <f t="shared" si="6"/>
        <v>0.57499999999999984</v>
      </c>
      <c r="F139" s="3">
        <v>46166</v>
      </c>
    </row>
    <row r="140" spans="1:6" x14ac:dyDescent="0.3">
      <c r="C140" s="5">
        <f t="shared" si="5"/>
        <v>8.7770000000000001E-2</v>
      </c>
      <c r="E140" s="1">
        <f t="shared" si="6"/>
        <v>0.57638888888888873</v>
      </c>
      <c r="F140" s="3">
        <v>46166</v>
      </c>
    </row>
    <row r="141" spans="1:6" x14ac:dyDescent="0.3">
      <c r="C141" s="5">
        <f t="shared" si="5"/>
        <v>5.7750000000000003E-2</v>
      </c>
      <c r="E141" s="1">
        <f t="shared" si="6"/>
        <v>0.57708333333333317</v>
      </c>
      <c r="F141" s="3">
        <v>46166</v>
      </c>
    </row>
    <row r="142" spans="1:6" x14ac:dyDescent="0.3">
      <c r="C142" s="5">
        <f t="shared" si="5"/>
        <v>8.2240000000000008E-2</v>
      </c>
      <c r="E142" s="1">
        <f t="shared" si="6"/>
        <v>0.5791666666666665</v>
      </c>
      <c r="F142" s="3">
        <v>46166</v>
      </c>
    </row>
    <row r="143" spans="1:6" x14ac:dyDescent="0.3">
      <c r="C143" s="5">
        <f t="shared" si="5"/>
        <v>0.11437</v>
      </c>
      <c r="E143" s="1">
        <f t="shared" si="6"/>
        <v>0.58055555555555538</v>
      </c>
      <c r="F143" s="3">
        <v>46166</v>
      </c>
    </row>
    <row r="144" spans="1:6" x14ac:dyDescent="0.3">
      <c r="C144" s="5">
        <f t="shared" si="5"/>
        <v>0.10713999999999999</v>
      </c>
      <c r="E144" s="1">
        <f t="shared" si="6"/>
        <v>0.58194444444444426</v>
      </c>
      <c r="F144" s="3">
        <v>46166</v>
      </c>
    </row>
    <row r="145" spans="3:6" x14ac:dyDescent="0.3">
      <c r="C145" s="5">
        <f t="shared" si="5"/>
        <v>0.15214</v>
      </c>
      <c r="E145" s="1">
        <f t="shared" si="6"/>
        <v>0.58333333333333304</v>
      </c>
      <c r="F145" s="3">
        <v>46166</v>
      </c>
    </row>
    <row r="146" spans="3:6" x14ac:dyDescent="0.3">
      <c r="C146" s="5">
        <f t="shared" si="5"/>
        <v>0</v>
      </c>
      <c r="E146" s="1">
        <f t="shared" si="6"/>
        <v>0.5874999999999998</v>
      </c>
      <c r="F146" s="3">
        <v>46166</v>
      </c>
    </row>
    <row r="147" spans="3:6" x14ac:dyDescent="0.3">
      <c r="C147" s="5">
        <f t="shared" si="5"/>
        <v>0</v>
      </c>
      <c r="E147" s="1">
        <f t="shared" si="6"/>
        <v>0.58819444444444424</v>
      </c>
      <c r="F147" s="3">
        <v>46166</v>
      </c>
    </row>
    <row r="148" spans="3:6" x14ac:dyDescent="0.3">
      <c r="C148" s="5">
        <f t="shared" si="5"/>
        <v>0</v>
      </c>
      <c r="E148" s="1">
        <f t="shared" si="6"/>
        <v>0.58888888888888868</v>
      </c>
      <c r="F148" s="3">
        <v>46166</v>
      </c>
    </row>
    <row r="149" spans="3:6" x14ac:dyDescent="0.3">
      <c r="C149" s="5">
        <f t="shared" ref="C149:C168" si="8">((D140-D149))/20</f>
        <v>0</v>
      </c>
      <c r="E149" s="1">
        <f t="shared" ref="E149:E168" si="9">E140+(20/1440)</f>
        <v>0.59027777777777757</v>
      </c>
      <c r="F149" s="3">
        <v>46166</v>
      </c>
    </row>
    <row r="150" spans="3:6" x14ac:dyDescent="0.3">
      <c r="C150" s="5">
        <f t="shared" si="8"/>
        <v>0</v>
      </c>
      <c r="E150" s="1">
        <f t="shared" si="9"/>
        <v>0.59097222222222201</v>
      </c>
      <c r="F150" s="3">
        <v>46166</v>
      </c>
    </row>
    <row r="151" spans="3:6" x14ac:dyDescent="0.3">
      <c r="C151" s="5">
        <f t="shared" si="8"/>
        <v>0</v>
      </c>
      <c r="E151" s="1">
        <f t="shared" si="9"/>
        <v>0.59305555555555534</v>
      </c>
      <c r="F151" s="3">
        <v>46166</v>
      </c>
    </row>
    <row r="152" spans="3:6" x14ac:dyDescent="0.3">
      <c r="C152" s="5">
        <f t="shared" si="8"/>
        <v>0</v>
      </c>
      <c r="E152" s="1">
        <f t="shared" si="9"/>
        <v>0.59444444444444422</v>
      </c>
      <c r="F152" s="3">
        <v>46166</v>
      </c>
    </row>
    <row r="153" spans="3:6" x14ac:dyDescent="0.3">
      <c r="C153" s="5">
        <f t="shared" si="8"/>
        <v>0</v>
      </c>
      <c r="E153" s="1">
        <f t="shared" si="9"/>
        <v>0.5958333333333331</v>
      </c>
      <c r="F153" s="3">
        <v>46166</v>
      </c>
    </row>
    <row r="154" spans="3:6" x14ac:dyDescent="0.3">
      <c r="C154" s="5">
        <f t="shared" si="8"/>
        <v>0</v>
      </c>
      <c r="E154" s="1">
        <f t="shared" si="9"/>
        <v>0.59722222222222188</v>
      </c>
      <c r="F154" s="3">
        <v>46166</v>
      </c>
    </row>
    <row r="155" spans="3:6" x14ac:dyDescent="0.3">
      <c r="C155" s="5">
        <f t="shared" si="8"/>
        <v>0</v>
      </c>
      <c r="E155" s="1">
        <f t="shared" si="9"/>
        <v>0.60138888888888864</v>
      </c>
      <c r="F155" s="3">
        <v>46166</v>
      </c>
    </row>
    <row r="156" spans="3:6" x14ac:dyDescent="0.3">
      <c r="C156" s="5">
        <f t="shared" si="8"/>
        <v>0</v>
      </c>
      <c r="E156" s="1">
        <f t="shared" si="9"/>
        <v>0.60208333333333308</v>
      </c>
      <c r="F156" s="3">
        <v>46166</v>
      </c>
    </row>
    <row r="157" spans="3:6" x14ac:dyDescent="0.3">
      <c r="C157" s="5">
        <f t="shared" si="8"/>
        <v>0</v>
      </c>
      <c r="E157" s="1">
        <f t="shared" si="9"/>
        <v>0.60277777777777752</v>
      </c>
      <c r="F157" s="3">
        <v>46166</v>
      </c>
    </row>
    <row r="158" spans="3:6" x14ac:dyDescent="0.3">
      <c r="C158" s="5">
        <f t="shared" si="8"/>
        <v>0</v>
      </c>
      <c r="E158" s="1">
        <f t="shared" si="9"/>
        <v>0.60416666666666641</v>
      </c>
      <c r="F158" s="3">
        <v>46166</v>
      </c>
    </row>
    <row r="159" spans="3:6" x14ac:dyDescent="0.3">
      <c r="C159" s="5">
        <f t="shared" si="8"/>
        <v>0</v>
      </c>
      <c r="E159" s="1">
        <f t="shared" si="9"/>
        <v>0.60486111111111085</v>
      </c>
      <c r="F159" s="3">
        <v>46166</v>
      </c>
    </row>
    <row r="160" spans="3:6" x14ac:dyDescent="0.3">
      <c r="C160" s="5">
        <f t="shared" si="8"/>
        <v>0</v>
      </c>
      <c r="E160" s="1">
        <f t="shared" si="9"/>
        <v>0.60694444444444418</v>
      </c>
      <c r="F160" s="3">
        <v>46166</v>
      </c>
    </row>
    <row r="161" spans="3:6" x14ac:dyDescent="0.3">
      <c r="C161" s="5">
        <f t="shared" si="8"/>
        <v>0</v>
      </c>
      <c r="E161" s="1">
        <f t="shared" si="9"/>
        <v>0.60833333333333306</v>
      </c>
      <c r="F161" s="3">
        <v>46166</v>
      </c>
    </row>
    <row r="162" spans="3:6" x14ac:dyDescent="0.3">
      <c r="C162" s="5">
        <f t="shared" si="8"/>
        <v>0</v>
      </c>
      <c r="E162" s="1">
        <f t="shared" si="9"/>
        <v>0.60972222222222194</v>
      </c>
      <c r="F162" s="3">
        <v>46166</v>
      </c>
    </row>
    <row r="163" spans="3:6" x14ac:dyDescent="0.3">
      <c r="C163" s="5">
        <f t="shared" si="8"/>
        <v>0</v>
      </c>
      <c r="E163" s="1">
        <f t="shared" si="9"/>
        <v>0.61111111111111072</v>
      </c>
      <c r="F163" s="3">
        <v>46166</v>
      </c>
    </row>
    <row r="164" spans="3:6" x14ac:dyDescent="0.3">
      <c r="C164" s="5">
        <f t="shared" si="8"/>
        <v>0</v>
      </c>
      <c r="E164" s="1">
        <f t="shared" si="9"/>
        <v>0.61527777777777748</v>
      </c>
      <c r="F164" s="3">
        <v>46166</v>
      </c>
    </row>
    <row r="165" spans="3:6" x14ac:dyDescent="0.3">
      <c r="C165" s="5">
        <f t="shared" si="8"/>
        <v>0</v>
      </c>
      <c r="E165" s="1">
        <f t="shared" si="9"/>
        <v>0.61597222222222192</v>
      </c>
      <c r="F165" s="3">
        <v>46166</v>
      </c>
    </row>
    <row r="166" spans="3:6" x14ac:dyDescent="0.3">
      <c r="C166" s="5">
        <f t="shared" si="8"/>
        <v>0</v>
      </c>
      <c r="E166" s="1">
        <f t="shared" si="9"/>
        <v>0.61666666666666636</v>
      </c>
      <c r="F166" s="3">
        <v>46166</v>
      </c>
    </row>
    <row r="167" spans="3:6" x14ac:dyDescent="0.3">
      <c r="C167" s="5">
        <f t="shared" si="8"/>
        <v>0</v>
      </c>
      <c r="E167" s="1">
        <f t="shared" si="9"/>
        <v>0.61805555555555525</v>
      </c>
      <c r="F167" s="3">
        <v>46166</v>
      </c>
    </row>
    <row r="168" spans="3:6" x14ac:dyDescent="0.3">
      <c r="C168" s="5">
        <f t="shared" si="8"/>
        <v>0</v>
      </c>
      <c r="E168" s="1">
        <f t="shared" si="9"/>
        <v>0.61874999999999969</v>
      </c>
      <c r="F168" s="3">
        <v>46166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C396-2A89-441B-A6FB-DFA074DFAB8C}">
  <dimension ref="A1:E138"/>
  <sheetViews>
    <sheetView topLeftCell="A114" workbookViewId="0">
      <selection activeCell="A134" sqref="A134"/>
    </sheetView>
  </sheetViews>
  <sheetFormatPr baseColWidth="10" defaultRowHeight="14.4" x14ac:dyDescent="0.3"/>
  <sheetData>
    <row r="1" spans="1:5" x14ac:dyDescent="0.3">
      <c r="A1" t="s">
        <v>0</v>
      </c>
      <c r="B1" t="s">
        <v>123</v>
      </c>
      <c r="C1" t="s">
        <v>22</v>
      </c>
    </row>
    <row r="2" spans="1:5" x14ac:dyDescent="0.3">
      <c r="A2" t="s">
        <v>97</v>
      </c>
      <c r="C2" t="s">
        <v>124</v>
      </c>
      <c r="D2">
        <v>2.8469000000000002</v>
      </c>
      <c r="E2" s="1">
        <v>0.35555555555555557</v>
      </c>
    </row>
    <row r="3" spans="1:5" x14ac:dyDescent="0.3">
      <c r="A3" t="s">
        <v>98</v>
      </c>
      <c r="D3">
        <v>1.8521000000000001</v>
      </c>
      <c r="E3" s="1">
        <v>0.35625000000000001</v>
      </c>
    </row>
    <row r="4" spans="1:5" x14ac:dyDescent="0.3">
      <c r="A4" t="s">
        <v>99</v>
      </c>
      <c r="D4">
        <v>2.9914999999999998</v>
      </c>
      <c r="E4" s="1">
        <v>0.3576388888888889</v>
      </c>
    </row>
    <row r="5" spans="1:5" x14ac:dyDescent="0.3">
      <c r="A5" t="s">
        <v>91</v>
      </c>
      <c r="D5">
        <v>1.6215999999999999</v>
      </c>
      <c r="E5" s="1">
        <v>0.35833333333333334</v>
      </c>
    </row>
    <row r="6" spans="1:5" x14ac:dyDescent="0.3">
      <c r="A6" t="s">
        <v>92</v>
      </c>
      <c r="D6">
        <v>1.4235</v>
      </c>
      <c r="E6" s="1">
        <v>0.35902777777777778</v>
      </c>
    </row>
    <row r="7" spans="1:5" x14ac:dyDescent="0.3">
      <c r="A7" t="s">
        <v>93</v>
      </c>
      <c r="D7">
        <v>0.95689999999999997</v>
      </c>
      <c r="E7" s="1">
        <v>0.35972222222222222</v>
      </c>
    </row>
    <row r="8" spans="1:5" x14ac:dyDescent="0.3">
      <c r="A8" t="s">
        <v>94</v>
      </c>
      <c r="D8">
        <v>2.9828999999999999</v>
      </c>
      <c r="E8" s="1">
        <v>0.36041666666666666</v>
      </c>
    </row>
    <row r="9" spans="1:5" x14ac:dyDescent="0.3">
      <c r="A9" t="s">
        <v>95</v>
      </c>
      <c r="D9">
        <v>1.6004</v>
      </c>
      <c r="E9" s="1">
        <v>0.3611111111111111</v>
      </c>
    </row>
    <row r="10" spans="1:5" x14ac:dyDescent="0.3">
      <c r="A10" t="s">
        <v>96</v>
      </c>
      <c r="D10">
        <v>2.0406</v>
      </c>
      <c r="E10" s="1">
        <v>0.36249999999999999</v>
      </c>
    </row>
    <row r="11" spans="1:5" x14ac:dyDescent="0.3">
      <c r="A11" t="s">
        <v>97</v>
      </c>
      <c r="B11">
        <v>0</v>
      </c>
      <c r="C11">
        <v>0</v>
      </c>
      <c r="D11">
        <v>2.8340999999999998</v>
      </c>
      <c r="E11" s="1">
        <v>0.36319444444444443</v>
      </c>
    </row>
    <row r="12" spans="1:5" x14ac:dyDescent="0.3">
      <c r="A12" t="s">
        <v>98</v>
      </c>
      <c r="B12">
        <v>0</v>
      </c>
      <c r="C12">
        <v>0</v>
      </c>
      <c r="D12">
        <v>1.8411999999999999</v>
      </c>
      <c r="E12" s="1">
        <f>E3+(11/1440)</f>
        <v>0.36388888888888887</v>
      </c>
    </row>
    <row r="13" spans="1:5" x14ac:dyDescent="0.3">
      <c r="A13" t="s">
        <v>99</v>
      </c>
      <c r="B13">
        <v>0</v>
      </c>
      <c r="C13">
        <v>0</v>
      </c>
      <c r="D13">
        <v>2.9853000000000001</v>
      </c>
      <c r="E13" s="1">
        <f t="shared" ref="E13:E19" si="0">E4+(11/1440)</f>
        <v>0.36527777777777776</v>
      </c>
    </row>
    <row r="14" spans="1:5" x14ac:dyDescent="0.3">
      <c r="A14" t="s">
        <v>91</v>
      </c>
      <c r="B14">
        <v>0</v>
      </c>
      <c r="C14">
        <v>0</v>
      </c>
      <c r="D14">
        <v>1.6089</v>
      </c>
      <c r="E14" s="1">
        <f t="shared" si="0"/>
        <v>0.3659722222222222</v>
      </c>
    </row>
    <row r="15" spans="1:5" x14ac:dyDescent="0.3">
      <c r="A15" t="s">
        <v>92</v>
      </c>
      <c r="B15">
        <v>0</v>
      </c>
      <c r="C15">
        <v>0</v>
      </c>
      <c r="D15">
        <v>1.4167000000000001</v>
      </c>
      <c r="E15" s="1">
        <f t="shared" si="0"/>
        <v>0.36666666666666664</v>
      </c>
    </row>
    <row r="16" spans="1:5" x14ac:dyDescent="0.3">
      <c r="A16" t="s">
        <v>93</v>
      </c>
      <c r="B16">
        <v>0</v>
      </c>
      <c r="C16">
        <v>0</v>
      </c>
      <c r="D16">
        <v>0.95720000000000005</v>
      </c>
      <c r="E16" s="1">
        <f t="shared" si="0"/>
        <v>0.36736111111111108</v>
      </c>
    </row>
    <row r="17" spans="1:5" x14ac:dyDescent="0.3">
      <c r="A17" t="s">
        <v>94</v>
      </c>
      <c r="B17">
        <v>0</v>
      </c>
      <c r="C17">
        <v>0</v>
      </c>
      <c r="D17">
        <v>2.9689999999999999</v>
      </c>
      <c r="E17" s="1">
        <f t="shared" si="0"/>
        <v>0.36805555555555552</v>
      </c>
    </row>
    <row r="18" spans="1:5" x14ac:dyDescent="0.3">
      <c r="A18" t="s">
        <v>95</v>
      </c>
      <c r="B18">
        <v>0</v>
      </c>
      <c r="C18">
        <v>0</v>
      </c>
      <c r="D18">
        <v>1.5911</v>
      </c>
      <c r="E18" s="1">
        <f t="shared" si="0"/>
        <v>0.36874999999999997</v>
      </c>
    </row>
    <row r="19" spans="1:5" x14ac:dyDescent="0.3">
      <c r="A19" t="s">
        <v>96</v>
      </c>
      <c r="B19">
        <v>0</v>
      </c>
      <c r="C19">
        <v>0</v>
      </c>
      <c r="D19">
        <v>2.0272000000000001</v>
      </c>
      <c r="E19" s="1">
        <f t="shared" si="0"/>
        <v>0.37013888888888885</v>
      </c>
    </row>
    <row r="20" spans="1:5" x14ac:dyDescent="0.3">
      <c r="A20" t="s">
        <v>97</v>
      </c>
      <c r="B20">
        <f>B11+20</f>
        <v>20</v>
      </c>
      <c r="C20">
        <f>(D11-D20)/20</f>
        <v>1.3349999999999972E-3</v>
      </c>
      <c r="D20">
        <v>2.8073999999999999</v>
      </c>
      <c r="E20" s="1">
        <f>E11+(20/1440)</f>
        <v>0.37708333333333333</v>
      </c>
    </row>
    <row r="21" spans="1:5" x14ac:dyDescent="0.3">
      <c r="A21" t="s">
        <v>98</v>
      </c>
      <c r="B21">
        <f t="shared" ref="B21:B84" si="1">B12+20</f>
        <v>20</v>
      </c>
      <c r="C21">
        <f t="shared" ref="C21:C84" si="2">(D12-D21)/20</f>
        <v>8.4999999999999518E-4</v>
      </c>
      <c r="D21">
        <v>1.8242</v>
      </c>
      <c r="E21" s="1">
        <f t="shared" ref="E21:E84" si="3">E12+(20/1440)</f>
        <v>0.37777777777777777</v>
      </c>
    </row>
    <row r="22" spans="1:5" x14ac:dyDescent="0.3">
      <c r="A22" t="s">
        <v>99</v>
      </c>
      <c r="B22">
        <f t="shared" si="1"/>
        <v>20</v>
      </c>
      <c r="C22">
        <f t="shared" si="2"/>
        <v>1.1349999999999971E-3</v>
      </c>
      <c r="D22">
        <v>2.9626000000000001</v>
      </c>
      <c r="E22" s="1">
        <f t="shared" si="3"/>
        <v>0.37916666666666665</v>
      </c>
    </row>
    <row r="23" spans="1:5" x14ac:dyDescent="0.3">
      <c r="A23" t="s">
        <v>91</v>
      </c>
      <c r="B23">
        <f t="shared" si="1"/>
        <v>20</v>
      </c>
      <c r="C23">
        <f t="shared" si="2"/>
        <v>1.0650000000000047E-3</v>
      </c>
      <c r="D23">
        <v>1.5875999999999999</v>
      </c>
      <c r="E23" s="1">
        <f t="shared" si="3"/>
        <v>0.37986111111111109</v>
      </c>
    </row>
    <row r="24" spans="1:5" x14ac:dyDescent="0.3">
      <c r="A24" t="s">
        <v>92</v>
      </c>
      <c r="B24">
        <f t="shared" si="1"/>
        <v>20</v>
      </c>
      <c r="C24">
        <f t="shared" si="2"/>
        <v>6.8000000000000287E-4</v>
      </c>
      <c r="D24">
        <v>1.4031</v>
      </c>
      <c r="E24" s="1">
        <f t="shared" si="3"/>
        <v>0.38055555555555554</v>
      </c>
    </row>
    <row r="25" spans="1:5" x14ac:dyDescent="0.3">
      <c r="A25" t="s">
        <v>93</v>
      </c>
      <c r="B25">
        <f t="shared" si="1"/>
        <v>20</v>
      </c>
      <c r="C25">
        <f t="shared" si="2"/>
        <v>4.0499999999999982E-4</v>
      </c>
      <c r="D25">
        <v>0.94910000000000005</v>
      </c>
      <c r="E25" s="1">
        <f t="shared" si="3"/>
        <v>0.38124999999999998</v>
      </c>
    </row>
    <row r="26" spans="1:5" x14ac:dyDescent="0.3">
      <c r="A26" t="s">
        <v>94</v>
      </c>
      <c r="B26">
        <f t="shared" si="1"/>
        <v>20</v>
      </c>
      <c r="C26">
        <f t="shared" si="2"/>
        <v>9.80000000000003E-4</v>
      </c>
      <c r="D26">
        <v>2.9493999999999998</v>
      </c>
      <c r="E26" s="1">
        <f t="shared" si="3"/>
        <v>0.38194444444444442</v>
      </c>
    </row>
    <row r="27" spans="1:5" x14ac:dyDescent="0.3">
      <c r="A27" t="s">
        <v>95</v>
      </c>
      <c r="B27">
        <f t="shared" si="1"/>
        <v>20</v>
      </c>
      <c r="C27">
        <f t="shared" si="2"/>
        <v>5.8000000000000271E-4</v>
      </c>
      <c r="D27">
        <v>1.5794999999999999</v>
      </c>
      <c r="E27" s="1">
        <f t="shared" si="3"/>
        <v>0.38263888888888886</v>
      </c>
    </row>
    <row r="28" spans="1:5" x14ac:dyDescent="0.3">
      <c r="A28" t="s">
        <v>96</v>
      </c>
      <c r="B28">
        <f t="shared" si="1"/>
        <v>20</v>
      </c>
      <c r="C28">
        <f t="shared" si="2"/>
        <v>1.2299999999999978E-3</v>
      </c>
      <c r="D28">
        <v>2.0026000000000002</v>
      </c>
      <c r="E28" s="1">
        <f t="shared" si="3"/>
        <v>0.38402777777777775</v>
      </c>
    </row>
    <row r="29" spans="1:5" x14ac:dyDescent="0.3">
      <c r="A29" t="s">
        <v>97</v>
      </c>
      <c r="B29">
        <f t="shared" si="1"/>
        <v>40</v>
      </c>
      <c r="C29">
        <f t="shared" si="2"/>
        <v>1.1449999999999961E-3</v>
      </c>
      <c r="D29">
        <v>2.7845</v>
      </c>
      <c r="E29" s="1">
        <f t="shared" si="3"/>
        <v>0.39097222222222222</v>
      </c>
    </row>
    <row r="30" spans="1:5" x14ac:dyDescent="0.3">
      <c r="A30" t="s">
        <v>98</v>
      </c>
      <c r="B30">
        <f t="shared" si="1"/>
        <v>40</v>
      </c>
      <c r="C30">
        <f t="shared" si="2"/>
        <v>7.1499999999999895E-4</v>
      </c>
      <c r="D30">
        <v>1.8099000000000001</v>
      </c>
      <c r="E30" s="1">
        <f t="shared" si="3"/>
        <v>0.39166666666666666</v>
      </c>
    </row>
    <row r="31" spans="1:5" x14ac:dyDescent="0.3">
      <c r="A31" t="s">
        <v>99</v>
      </c>
      <c r="B31">
        <f t="shared" si="1"/>
        <v>40</v>
      </c>
      <c r="C31">
        <f t="shared" si="2"/>
        <v>9.2000000000000968E-4</v>
      </c>
      <c r="D31">
        <v>2.9441999999999999</v>
      </c>
      <c r="E31" s="1">
        <f t="shared" si="3"/>
        <v>0.39305555555555555</v>
      </c>
    </row>
    <row r="32" spans="1:5" x14ac:dyDescent="0.3">
      <c r="A32" t="s">
        <v>91</v>
      </c>
      <c r="B32">
        <f t="shared" si="1"/>
        <v>40</v>
      </c>
      <c r="C32">
        <f t="shared" si="2"/>
        <v>1.1249999999999982E-3</v>
      </c>
      <c r="D32">
        <v>1.5650999999999999</v>
      </c>
      <c r="E32" s="1">
        <f t="shared" si="3"/>
        <v>0.39374999999999999</v>
      </c>
    </row>
    <row r="33" spans="1:5" x14ac:dyDescent="0.3">
      <c r="A33" t="s">
        <v>92</v>
      </c>
      <c r="B33">
        <f t="shared" si="1"/>
        <v>40</v>
      </c>
      <c r="C33">
        <f t="shared" si="2"/>
        <v>6.4499999999999562E-4</v>
      </c>
      <c r="D33">
        <v>1.3902000000000001</v>
      </c>
      <c r="E33" s="1">
        <f t="shared" si="3"/>
        <v>0.39444444444444443</v>
      </c>
    </row>
    <row r="34" spans="1:5" x14ac:dyDescent="0.3">
      <c r="A34" t="s">
        <v>93</v>
      </c>
      <c r="B34">
        <f t="shared" si="1"/>
        <v>40</v>
      </c>
      <c r="C34">
        <f t="shared" si="2"/>
        <v>4.1000000000000482E-4</v>
      </c>
      <c r="D34">
        <v>0.94089999999999996</v>
      </c>
      <c r="E34" s="1">
        <f t="shared" si="3"/>
        <v>0.39513888888888887</v>
      </c>
    </row>
    <row r="35" spans="1:5" x14ac:dyDescent="0.3">
      <c r="A35" t="s">
        <v>94</v>
      </c>
      <c r="B35">
        <f t="shared" si="1"/>
        <v>40</v>
      </c>
      <c r="C35">
        <f t="shared" si="2"/>
        <v>9.8999999999997983E-4</v>
      </c>
      <c r="D35">
        <v>2.9296000000000002</v>
      </c>
      <c r="E35" s="1">
        <f t="shared" si="3"/>
        <v>0.39583333333333331</v>
      </c>
    </row>
    <row r="36" spans="1:5" x14ac:dyDescent="0.3">
      <c r="A36" t="s">
        <v>95</v>
      </c>
      <c r="B36">
        <f t="shared" si="1"/>
        <v>40</v>
      </c>
      <c r="C36">
        <f t="shared" si="2"/>
        <v>5.5499999999999441E-4</v>
      </c>
      <c r="D36">
        <v>1.5684</v>
      </c>
      <c r="E36" s="1">
        <f t="shared" si="3"/>
        <v>0.39652777777777776</v>
      </c>
    </row>
    <row r="37" spans="1:5" x14ac:dyDescent="0.3">
      <c r="A37" t="s">
        <v>96</v>
      </c>
      <c r="B37">
        <f t="shared" si="1"/>
        <v>40</v>
      </c>
      <c r="C37">
        <f t="shared" si="2"/>
        <v>1.1500000000000065E-3</v>
      </c>
      <c r="D37">
        <v>1.9796</v>
      </c>
      <c r="E37" s="1">
        <f t="shared" si="3"/>
        <v>0.39791666666666664</v>
      </c>
    </row>
    <row r="38" spans="1:5" x14ac:dyDescent="0.3">
      <c r="A38" t="s">
        <v>97</v>
      </c>
      <c r="B38">
        <f t="shared" si="1"/>
        <v>60</v>
      </c>
      <c r="C38">
        <f t="shared" si="2"/>
        <v>1.1849999999999916E-3</v>
      </c>
      <c r="D38">
        <v>2.7608000000000001</v>
      </c>
      <c r="E38" s="1">
        <f t="shared" si="3"/>
        <v>0.40486111111111112</v>
      </c>
    </row>
    <row r="39" spans="1:5" x14ac:dyDescent="0.3">
      <c r="A39" t="s">
        <v>98</v>
      </c>
      <c r="B39">
        <f t="shared" si="1"/>
        <v>60</v>
      </c>
      <c r="C39">
        <f t="shared" si="2"/>
        <v>8.3000000000000847E-4</v>
      </c>
      <c r="D39">
        <v>1.7932999999999999</v>
      </c>
      <c r="E39" s="1">
        <f t="shared" si="3"/>
        <v>0.40555555555555556</v>
      </c>
    </row>
    <row r="40" spans="1:5" x14ac:dyDescent="0.3">
      <c r="A40" t="s">
        <v>99</v>
      </c>
      <c r="B40">
        <f t="shared" si="1"/>
        <v>60</v>
      </c>
      <c r="C40">
        <f t="shared" si="2"/>
        <v>8.4999999999999518E-4</v>
      </c>
      <c r="D40">
        <v>2.9272</v>
      </c>
      <c r="E40" s="1">
        <f t="shared" si="3"/>
        <v>0.40694444444444444</v>
      </c>
    </row>
    <row r="41" spans="1:5" x14ac:dyDescent="0.3">
      <c r="A41" t="s">
        <v>91</v>
      </c>
      <c r="B41">
        <f t="shared" si="1"/>
        <v>60</v>
      </c>
      <c r="C41">
        <f t="shared" si="2"/>
        <v>1.1799999999999923E-3</v>
      </c>
      <c r="D41">
        <v>1.5415000000000001</v>
      </c>
      <c r="E41" s="1">
        <f t="shared" si="3"/>
        <v>0.40763888888888888</v>
      </c>
    </row>
    <row r="42" spans="1:5" x14ac:dyDescent="0.3">
      <c r="A42" t="s">
        <v>92</v>
      </c>
      <c r="B42">
        <f t="shared" si="1"/>
        <v>60</v>
      </c>
      <c r="C42">
        <f t="shared" si="2"/>
        <v>5.7000000000000388E-4</v>
      </c>
      <c r="D42">
        <v>1.3788</v>
      </c>
      <c r="E42" s="1">
        <f t="shared" si="3"/>
        <v>0.40833333333333333</v>
      </c>
    </row>
    <row r="43" spans="1:5" x14ac:dyDescent="0.3">
      <c r="A43" t="s">
        <v>93</v>
      </c>
      <c r="B43">
        <f t="shared" si="1"/>
        <v>60</v>
      </c>
      <c r="C43">
        <f t="shared" si="2"/>
        <v>3.8499999999999646E-4</v>
      </c>
      <c r="D43">
        <v>0.93320000000000003</v>
      </c>
      <c r="E43" s="1">
        <f t="shared" si="3"/>
        <v>0.40902777777777777</v>
      </c>
    </row>
    <row r="44" spans="1:5" x14ac:dyDescent="0.3">
      <c r="A44" t="s">
        <v>94</v>
      </c>
      <c r="B44">
        <f t="shared" si="1"/>
        <v>60</v>
      </c>
      <c r="C44">
        <f t="shared" si="2"/>
        <v>8.3000000000001963E-4</v>
      </c>
      <c r="D44">
        <v>2.9129999999999998</v>
      </c>
      <c r="E44" s="1">
        <f t="shared" si="3"/>
        <v>0.40972222222222221</v>
      </c>
    </row>
    <row r="45" spans="1:5" x14ac:dyDescent="0.3">
      <c r="A45" t="s">
        <v>95</v>
      </c>
      <c r="B45">
        <f t="shared" si="1"/>
        <v>60</v>
      </c>
      <c r="C45">
        <f t="shared" si="2"/>
        <v>5.0499999999999992E-4</v>
      </c>
      <c r="D45">
        <v>1.5583</v>
      </c>
      <c r="E45" s="1">
        <f t="shared" si="3"/>
        <v>0.41041666666666665</v>
      </c>
    </row>
    <row r="46" spans="1:5" x14ac:dyDescent="0.3">
      <c r="A46" t="s">
        <v>96</v>
      </c>
      <c r="B46">
        <f t="shared" si="1"/>
        <v>60</v>
      </c>
      <c r="C46">
        <f t="shared" si="2"/>
        <v>1.1800000000000033E-3</v>
      </c>
      <c r="D46">
        <v>1.956</v>
      </c>
      <c r="E46" s="1">
        <f t="shared" si="3"/>
        <v>0.41180555555555554</v>
      </c>
    </row>
    <row r="47" spans="1:5" x14ac:dyDescent="0.3">
      <c r="A47" t="s">
        <v>97</v>
      </c>
      <c r="B47">
        <f t="shared" si="1"/>
        <v>80</v>
      </c>
      <c r="C47">
        <f t="shared" si="2"/>
        <v>1.2500000000000178E-3</v>
      </c>
      <c r="D47">
        <v>2.7357999999999998</v>
      </c>
      <c r="E47" s="1">
        <f t="shared" si="3"/>
        <v>0.41875000000000001</v>
      </c>
    </row>
    <row r="48" spans="1:5" x14ac:dyDescent="0.3">
      <c r="A48" t="s">
        <v>98</v>
      </c>
      <c r="B48">
        <f t="shared" si="1"/>
        <v>80</v>
      </c>
      <c r="C48">
        <f t="shared" si="2"/>
        <v>8.4999999999999518E-4</v>
      </c>
      <c r="D48">
        <v>1.7763</v>
      </c>
      <c r="E48" s="1">
        <f t="shared" si="3"/>
        <v>0.41944444444444445</v>
      </c>
    </row>
    <row r="49" spans="1:5" x14ac:dyDescent="0.3">
      <c r="A49" t="s">
        <v>99</v>
      </c>
      <c r="B49">
        <f t="shared" si="1"/>
        <v>80</v>
      </c>
      <c r="C49">
        <f t="shared" si="2"/>
        <v>8.1999999999999846E-4</v>
      </c>
      <c r="D49">
        <v>2.9108000000000001</v>
      </c>
      <c r="E49" s="1">
        <f t="shared" si="3"/>
        <v>0.42083333333333334</v>
      </c>
    </row>
    <row r="50" spans="1:5" x14ac:dyDescent="0.3">
      <c r="A50" t="s">
        <v>91</v>
      </c>
      <c r="B50">
        <f t="shared" si="1"/>
        <v>80</v>
      </c>
      <c r="C50">
        <f t="shared" si="2"/>
        <v>1.1850000000000027E-3</v>
      </c>
      <c r="D50">
        <v>1.5178</v>
      </c>
      <c r="E50" s="1">
        <f t="shared" si="3"/>
        <v>0.42152777777777778</v>
      </c>
    </row>
    <row r="51" spans="1:5" x14ac:dyDescent="0.3">
      <c r="A51" t="s">
        <v>92</v>
      </c>
      <c r="B51">
        <f t="shared" si="1"/>
        <v>80</v>
      </c>
      <c r="C51">
        <f t="shared" si="2"/>
        <v>6.3999999999999615E-4</v>
      </c>
      <c r="D51">
        <v>1.3660000000000001</v>
      </c>
      <c r="E51" s="1">
        <f t="shared" si="3"/>
        <v>0.42222222222222222</v>
      </c>
    </row>
    <row r="52" spans="1:5" x14ac:dyDescent="0.3">
      <c r="A52" t="s">
        <v>93</v>
      </c>
      <c r="B52">
        <f t="shared" si="1"/>
        <v>80</v>
      </c>
      <c r="C52">
        <f t="shared" si="2"/>
        <v>3.5499999999999974E-4</v>
      </c>
      <c r="D52">
        <v>0.92610000000000003</v>
      </c>
      <c r="E52" s="1">
        <f t="shared" si="3"/>
        <v>0.42291666666666666</v>
      </c>
    </row>
    <row r="53" spans="1:5" x14ac:dyDescent="0.3">
      <c r="A53" t="s">
        <v>94</v>
      </c>
      <c r="B53">
        <f t="shared" si="1"/>
        <v>80</v>
      </c>
      <c r="C53">
        <f t="shared" si="2"/>
        <v>8.9999999999998968E-4</v>
      </c>
      <c r="D53">
        <v>2.895</v>
      </c>
      <c r="E53" s="1">
        <f t="shared" si="3"/>
        <v>0.4236111111111111</v>
      </c>
    </row>
    <row r="54" spans="1:5" x14ac:dyDescent="0.3">
      <c r="A54" t="s">
        <v>95</v>
      </c>
      <c r="B54">
        <f t="shared" si="1"/>
        <v>80</v>
      </c>
      <c r="C54">
        <f t="shared" si="2"/>
        <v>5.1499999999999875E-4</v>
      </c>
      <c r="D54">
        <v>1.548</v>
      </c>
      <c r="E54" s="1">
        <f t="shared" si="3"/>
        <v>0.42430555555555555</v>
      </c>
    </row>
    <row r="55" spans="1:5" x14ac:dyDescent="0.3">
      <c r="A55" t="s">
        <v>96</v>
      </c>
      <c r="B55">
        <f t="shared" si="1"/>
        <v>80</v>
      </c>
      <c r="C55">
        <f t="shared" si="2"/>
        <v>1.1000000000000009E-3</v>
      </c>
      <c r="D55">
        <v>1.9339999999999999</v>
      </c>
      <c r="E55" s="1">
        <f t="shared" si="3"/>
        <v>0.42569444444444443</v>
      </c>
    </row>
    <row r="56" spans="1:5" x14ac:dyDescent="0.3">
      <c r="A56" t="s">
        <v>97</v>
      </c>
      <c r="B56">
        <f t="shared" si="1"/>
        <v>100</v>
      </c>
      <c r="C56">
        <f t="shared" si="2"/>
        <v>1.3899999999999802E-3</v>
      </c>
      <c r="D56">
        <v>2.7080000000000002</v>
      </c>
      <c r="E56" s="1">
        <f t="shared" si="3"/>
        <v>0.43263888888888891</v>
      </c>
    </row>
    <row r="57" spans="1:5" x14ac:dyDescent="0.3">
      <c r="A57" t="s">
        <v>98</v>
      </c>
      <c r="B57">
        <f t="shared" si="1"/>
        <v>100</v>
      </c>
      <c r="C57">
        <f t="shared" si="2"/>
        <v>1.0349999999999971E-3</v>
      </c>
      <c r="D57">
        <v>1.7556</v>
      </c>
      <c r="E57" s="1">
        <f t="shared" si="3"/>
        <v>0.43333333333333335</v>
      </c>
    </row>
    <row r="58" spans="1:5" x14ac:dyDescent="0.3">
      <c r="A58" t="s">
        <v>99</v>
      </c>
      <c r="B58">
        <f t="shared" si="1"/>
        <v>100</v>
      </c>
      <c r="C58">
        <f t="shared" si="2"/>
        <v>8.6500000000000465E-4</v>
      </c>
      <c r="D58">
        <v>2.8935</v>
      </c>
      <c r="E58" s="1">
        <f t="shared" si="3"/>
        <v>0.43472222222222223</v>
      </c>
    </row>
    <row r="59" spans="1:5" x14ac:dyDescent="0.3">
      <c r="A59" t="s">
        <v>91</v>
      </c>
      <c r="B59">
        <f t="shared" si="1"/>
        <v>100</v>
      </c>
      <c r="C59">
        <f t="shared" si="2"/>
        <v>1.0600000000000054E-3</v>
      </c>
      <c r="D59">
        <v>1.4965999999999999</v>
      </c>
      <c r="E59" s="1">
        <f t="shared" si="3"/>
        <v>0.43541666666666667</v>
      </c>
    </row>
    <row r="60" spans="1:5" x14ac:dyDescent="0.3">
      <c r="A60" t="s">
        <v>92</v>
      </c>
      <c r="B60">
        <f t="shared" si="1"/>
        <v>100</v>
      </c>
      <c r="C60">
        <f t="shared" si="2"/>
        <v>8.1500000000001016E-4</v>
      </c>
      <c r="D60">
        <v>1.3496999999999999</v>
      </c>
      <c r="E60" s="1">
        <f t="shared" si="3"/>
        <v>0.43611111111111112</v>
      </c>
    </row>
    <row r="61" spans="1:5" x14ac:dyDescent="0.3">
      <c r="A61" t="s">
        <v>93</v>
      </c>
      <c r="B61">
        <f t="shared" si="1"/>
        <v>100</v>
      </c>
      <c r="C61">
        <f t="shared" si="2"/>
        <v>3.8500000000000199E-4</v>
      </c>
      <c r="D61">
        <v>0.91839999999999999</v>
      </c>
      <c r="E61" s="1">
        <f t="shared" si="3"/>
        <v>0.43680555555555556</v>
      </c>
    </row>
    <row r="62" spans="1:5" x14ac:dyDescent="0.3">
      <c r="A62" t="s">
        <v>94</v>
      </c>
      <c r="B62">
        <f t="shared" si="1"/>
        <v>100</v>
      </c>
      <c r="C62">
        <f t="shared" si="2"/>
        <v>9.1000000000001084E-4</v>
      </c>
      <c r="D62">
        <v>2.8767999999999998</v>
      </c>
      <c r="E62" s="1">
        <f t="shared" si="3"/>
        <v>0.4375</v>
      </c>
    </row>
    <row r="63" spans="1:5" x14ac:dyDescent="0.3">
      <c r="A63" t="s">
        <v>95</v>
      </c>
      <c r="B63">
        <f t="shared" si="1"/>
        <v>100</v>
      </c>
      <c r="C63">
        <f t="shared" si="2"/>
        <v>4.900000000000015E-4</v>
      </c>
      <c r="D63">
        <v>1.5382</v>
      </c>
      <c r="E63" s="1">
        <f t="shared" si="3"/>
        <v>0.43819444444444444</v>
      </c>
    </row>
    <row r="64" spans="1:5" x14ac:dyDescent="0.3">
      <c r="A64" t="s">
        <v>96</v>
      </c>
      <c r="B64">
        <f t="shared" si="1"/>
        <v>100</v>
      </c>
      <c r="C64">
        <f t="shared" si="2"/>
        <v>1.1699999999999933E-3</v>
      </c>
      <c r="D64">
        <v>1.9106000000000001</v>
      </c>
      <c r="E64" s="1">
        <f t="shared" si="3"/>
        <v>0.43958333333333333</v>
      </c>
    </row>
    <row r="65" spans="1:5" x14ac:dyDescent="0.3">
      <c r="A65" t="s">
        <v>97</v>
      </c>
      <c r="B65">
        <f t="shared" si="1"/>
        <v>120</v>
      </c>
      <c r="C65">
        <f t="shared" si="2"/>
        <v>1.8050000000000121E-3</v>
      </c>
      <c r="D65">
        <v>2.6718999999999999</v>
      </c>
      <c r="E65" s="1">
        <f t="shared" si="3"/>
        <v>0.4465277777777778</v>
      </c>
    </row>
    <row r="66" spans="1:5" x14ac:dyDescent="0.3">
      <c r="A66" t="s">
        <v>98</v>
      </c>
      <c r="B66">
        <f t="shared" si="1"/>
        <v>120</v>
      </c>
      <c r="C66">
        <f t="shared" si="2"/>
        <v>9.1499999999999915E-4</v>
      </c>
      <c r="D66">
        <v>1.7373000000000001</v>
      </c>
      <c r="E66" s="1">
        <f t="shared" si="3"/>
        <v>0.44722222222222224</v>
      </c>
    </row>
    <row r="67" spans="1:5" x14ac:dyDescent="0.3">
      <c r="A67" t="s">
        <v>99</v>
      </c>
      <c r="B67">
        <f t="shared" si="1"/>
        <v>120</v>
      </c>
      <c r="C67">
        <f t="shared" si="2"/>
        <v>6.9500000000000117E-4</v>
      </c>
      <c r="D67">
        <v>2.8795999999999999</v>
      </c>
      <c r="E67" s="1">
        <f t="shared" si="3"/>
        <v>0.44861111111111113</v>
      </c>
    </row>
    <row r="68" spans="1:5" x14ac:dyDescent="0.3">
      <c r="A68" t="s">
        <v>91</v>
      </c>
      <c r="B68">
        <f t="shared" si="1"/>
        <v>120</v>
      </c>
      <c r="C68">
        <f t="shared" si="2"/>
        <v>8.5999999999999412E-4</v>
      </c>
      <c r="D68">
        <v>1.4794</v>
      </c>
      <c r="E68" s="1">
        <f t="shared" si="3"/>
        <v>0.44930555555555557</v>
      </c>
    </row>
    <row r="69" spans="1:5" x14ac:dyDescent="0.3">
      <c r="A69" t="s">
        <v>92</v>
      </c>
      <c r="B69">
        <f t="shared" si="1"/>
        <v>120</v>
      </c>
      <c r="C69">
        <f t="shared" si="2"/>
        <v>5.4499999999999547E-4</v>
      </c>
      <c r="D69">
        <v>1.3388</v>
      </c>
      <c r="E69" s="1">
        <f t="shared" si="3"/>
        <v>0.45</v>
      </c>
    </row>
    <row r="70" spans="1:5" x14ac:dyDescent="0.3">
      <c r="A70" t="s">
        <v>93</v>
      </c>
      <c r="B70">
        <f t="shared" si="1"/>
        <v>120</v>
      </c>
      <c r="C70">
        <f t="shared" si="2"/>
        <v>3.3500000000000196E-4</v>
      </c>
      <c r="D70">
        <v>0.91169999999999995</v>
      </c>
      <c r="E70" s="1">
        <f t="shared" si="3"/>
        <v>0.45069444444444445</v>
      </c>
    </row>
    <row r="71" spans="1:5" x14ac:dyDescent="0.3">
      <c r="A71" t="s">
        <v>94</v>
      </c>
      <c r="B71">
        <f t="shared" si="1"/>
        <v>120</v>
      </c>
      <c r="C71">
        <f t="shared" si="2"/>
        <v>7.3499999999999672E-4</v>
      </c>
      <c r="D71">
        <v>2.8620999999999999</v>
      </c>
      <c r="E71" s="1">
        <f t="shared" si="3"/>
        <v>0.4513888888888889</v>
      </c>
    </row>
    <row r="72" spans="1:5" x14ac:dyDescent="0.3">
      <c r="A72" t="s">
        <v>95</v>
      </c>
      <c r="B72">
        <f t="shared" si="1"/>
        <v>120</v>
      </c>
      <c r="C72">
        <f t="shared" si="2"/>
        <v>5.2999999999999716E-4</v>
      </c>
      <c r="D72">
        <v>1.5276000000000001</v>
      </c>
      <c r="E72" s="1">
        <f t="shared" si="3"/>
        <v>0.45208333333333334</v>
      </c>
    </row>
    <row r="73" spans="1:5" x14ac:dyDescent="0.3">
      <c r="A73" t="s">
        <v>96</v>
      </c>
      <c r="B73">
        <f t="shared" si="1"/>
        <v>120</v>
      </c>
      <c r="C73">
        <f t="shared" si="2"/>
        <v>1.1050000000000005E-3</v>
      </c>
      <c r="D73">
        <v>1.8885000000000001</v>
      </c>
      <c r="E73" s="1">
        <f t="shared" si="3"/>
        <v>0.45347222222222222</v>
      </c>
    </row>
    <row r="74" spans="1:5" x14ac:dyDescent="0.3">
      <c r="A74" t="s">
        <v>97</v>
      </c>
      <c r="B74">
        <f t="shared" si="1"/>
        <v>140</v>
      </c>
      <c r="C74">
        <f t="shared" si="2"/>
        <v>1.5449999999999965E-3</v>
      </c>
      <c r="D74">
        <v>2.641</v>
      </c>
      <c r="E74" s="1">
        <f t="shared" si="3"/>
        <v>0.4604166666666667</v>
      </c>
    </row>
    <row r="75" spans="1:5" x14ac:dyDescent="0.3">
      <c r="A75" t="s">
        <v>98</v>
      </c>
      <c r="B75">
        <f t="shared" si="1"/>
        <v>140</v>
      </c>
      <c r="C75">
        <f t="shared" si="2"/>
        <v>7.1499999999999895E-4</v>
      </c>
      <c r="D75">
        <v>1.7230000000000001</v>
      </c>
      <c r="E75" s="1">
        <f t="shared" si="3"/>
        <v>0.46111111111111114</v>
      </c>
    </row>
    <row r="76" spans="1:5" x14ac:dyDescent="0.3">
      <c r="A76" t="s">
        <v>99</v>
      </c>
      <c r="B76">
        <f t="shared" si="1"/>
        <v>140</v>
      </c>
      <c r="C76">
        <f t="shared" si="2"/>
        <v>7.7499999999999238E-4</v>
      </c>
      <c r="D76">
        <v>2.8641000000000001</v>
      </c>
      <c r="E76" s="1">
        <f t="shared" si="3"/>
        <v>0.46250000000000002</v>
      </c>
    </row>
    <row r="77" spans="1:5" x14ac:dyDescent="0.3">
      <c r="A77" t="s">
        <v>91</v>
      </c>
      <c r="B77">
        <f t="shared" si="1"/>
        <v>140</v>
      </c>
      <c r="C77">
        <f t="shared" si="2"/>
        <v>9.5000000000000639E-4</v>
      </c>
      <c r="D77">
        <v>1.4603999999999999</v>
      </c>
      <c r="E77" s="1">
        <f t="shared" si="3"/>
        <v>0.46319444444444446</v>
      </c>
    </row>
    <row r="78" spans="1:5" x14ac:dyDescent="0.3">
      <c r="A78" t="s">
        <v>92</v>
      </c>
      <c r="B78">
        <f t="shared" si="1"/>
        <v>140</v>
      </c>
      <c r="C78">
        <f t="shared" si="2"/>
        <v>6.2999999999999721E-4</v>
      </c>
      <c r="D78">
        <v>1.3262</v>
      </c>
      <c r="E78" s="1">
        <f t="shared" si="3"/>
        <v>0.46388888888888891</v>
      </c>
    </row>
    <row r="79" spans="1:5" x14ac:dyDescent="0.3">
      <c r="A79" t="s">
        <v>93</v>
      </c>
      <c r="B79">
        <f t="shared" si="1"/>
        <v>140</v>
      </c>
      <c r="C79">
        <f t="shared" si="2"/>
        <v>3.8499999999999646E-4</v>
      </c>
      <c r="D79">
        <v>0.90400000000000003</v>
      </c>
      <c r="E79" s="1">
        <f t="shared" si="3"/>
        <v>0.46458333333333335</v>
      </c>
    </row>
    <row r="80" spans="1:5" x14ac:dyDescent="0.3">
      <c r="A80" t="s">
        <v>94</v>
      </c>
      <c r="B80">
        <f t="shared" si="1"/>
        <v>140</v>
      </c>
      <c r="C80">
        <f t="shared" si="2"/>
        <v>8.5499999999998359E-4</v>
      </c>
      <c r="D80">
        <v>2.8450000000000002</v>
      </c>
      <c r="E80" s="1">
        <f t="shared" si="3"/>
        <v>0.46527777777777779</v>
      </c>
    </row>
    <row r="81" spans="1:5" x14ac:dyDescent="0.3">
      <c r="A81" t="s">
        <v>95</v>
      </c>
      <c r="B81">
        <f t="shared" si="1"/>
        <v>140</v>
      </c>
      <c r="C81">
        <f t="shared" si="2"/>
        <v>5.6500000000000441E-4</v>
      </c>
      <c r="D81">
        <v>1.5163</v>
      </c>
      <c r="E81" s="1">
        <f t="shared" si="3"/>
        <v>0.46597222222222223</v>
      </c>
    </row>
    <row r="82" spans="1:5" x14ac:dyDescent="0.3">
      <c r="A82" t="s">
        <v>96</v>
      </c>
      <c r="B82">
        <f t="shared" si="1"/>
        <v>140</v>
      </c>
      <c r="C82">
        <f t="shared" si="2"/>
        <v>1.0850000000000026E-3</v>
      </c>
      <c r="D82">
        <v>1.8668</v>
      </c>
      <c r="E82" s="1">
        <f t="shared" si="3"/>
        <v>0.46736111111111112</v>
      </c>
    </row>
    <row r="83" spans="1:5" x14ac:dyDescent="0.3">
      <c r="A83" t="s">
        <v>97</v>
      </c>
      <c r="B83">
        <f t="shared" si="1"/>
        <v>160</v>
      </c>
      <c r="C83">
        <f t="shared" si="2"/>
        <v>1.275000000000004E-3</v>
      </c>
      <c r="D83">
        <v>2.6154999999999999</v>
      </c>
      <c r="E83" s="1">
        <f t="shared" si="3"/>
        <v>0.47430555555555559</v>
      </c>
    </row>
    <row r="84" spans="1:5" x14ac:dyDescent="0.3">
      <c r="A84" t="s">
        <v>98</v>
      </c>
      <c r="B84">
        <f t="shared" si="1"/>
        <v>160</v>
      </c>
      <c r="C84">
        <f t="shared" si="2"/>
        <v>6.3500000000000774E-4</v>
      </c>
      <c r="D84">
        <v>1.7102999999999999</v>
      </c>
      <c r="E84" s="1">
        <f t="shared" si="3"/>
        <v>0.47500000000000003</v>
      </c>
    </row>
    <row r="85" spans="1:5" x14ac:dyDescent="0.3">
      <c r="A85" t="s">
        <v>99</v>
      </c>
      <c r="B85">
        <f t="shared" ref="B85:B136" si="4">B76+20</f>
        <v>160</v>
      </c>
      <c r="C85">
        <f t="shared" ref="C85:C136" si="5">(D76-D85)/20</f>
        <v>7.2499999999999789E-4</v>
      </c>
      <c r="D85">
        <v>2.8496000000000001</v>
      </c>
      <c r="E85" s="1">
        <f t="shared" ref="E85:E136" si="6">E76+(20/1440)</f>
        <v>0.47638888888888892</v>
      </c>
    </row>
    <row r="86" spans="1:5" x14ac:dyDescent="0.3">
      <c r="A86" t="s">
        <v>91</v>
      </c>
      <c r="B86">
        <f t="shared" si="4"/>
        <v>160</v>
      </c>
      <c r="C86">
        <f t="shared" si="5"/>
        <v>8.6999999999999296E-4</v>
      </c>
      <c r="D86">
        <v>1.4430000000000001</v>
      </c>
      <c r="E86" s="1">
        <f t="shared" si="6"/>
        <v>0.47708333333333336</v>
      </c>
    </row>
    <row r="87" spans="1:5" x14ac:dyDescent="0.3">
      <c r="A87" t="s">
        <v>92</v>
      </c>
      <c r="B87">
        <f t="shared" si="4"/>
        <v>160</v>
      </c>
      <c r="C87">
        <f t="shared" si="5"/>
        <v>5.0000000000000044E-4</v>
      </c>
      <c r="D87">
        <v>1.3162</v>
      </c>
      <c r="E87" s="1">
        <f t="shared" si="6"/>
        <v>0.4777777777777778</v>
      </c>
    </row>
    <row r="88" spans="1:5" x14ac:dyDescent="0.3">
      <c r="A88" t="s">
        <v>93</v>
      </c>
      <c r="B88">
        <f t="shared" si="4"/>
        <v>160</v>
      </c>
      <c r="C88">
        <f t="shared" si="5"/>
        <v>3.5000000000000032E-4</v>
      </c>
      <c r="D88">
        <v>0.89700000000000002</v>
      </c>
      <c r="E88" s="1">
        <f t="shared" si="6"/>
        <v>0.47847222222222224</v>
      </c>
    </row>
    <row r="89" spans="1:5" x14ac:dyDescent="0.3">
      <c r="A89" t="s">
        <v>94</v>
      </c>
      <c r="B89">
        <f t="shared" si="4"/>
        <v>160</v>
      </c>
      <c r="C89">
        <f t="shared" si="5"/>
        <v>7.4000000000000736E-4</v>
      </c>
      <c r="D89">
        <v>2.8302</v>
      </c>
      <c r="E89" s="1">
        <f t="shared" si="6"/>
        <v>0.47916666666666669</v>
      </c>
    </row>
    <row r="90" spans="1:5" x14ac:dyDescent="0.3">
      <c r="A90" t="s">
        <v>95</v>
      </c>
      <c r="B90">
        <f t="shared" si="4"/>
        <v>160</v>
      </c>
      <c r="C90">
        <f t="shared" si="5"/>
        <v>5.3499999999999663E-4</v>
      </c>
      <c r="D90">
        <v>1.5056</v>
      </c>
      <c r="E90" s="1">
        <f t="shared" si="6"/>
        <v>0.47986111111111113</v>
      </c>
    </row>
    <row r="91" spans="1:5" x14ac:dyDescent="0.3">
      <c r="A91" t="s">
        <v>96</v>
      </c>
      <c r="B91">
        <f t="shared" si="4"/>
        <v>160</v>
      </c>
      <c r="C91">
        <f t="shared" si="5"/>
        <v>1.1550000000000061E-3</v>
      </c>
      <c r="D91">
        <v>1.8436999999999999</v>
      </c>
      <c r="E91" s="1">
        <f t="shared" si="6"/>
        <v>0.48125000000000001</v>
      </c>
    </row>
    <row r="92" spans="1:5" x14ac:dyDescent="0.3">
      <c r="A92" t="s">
        <v>97</v>
      </c>
      <c r="B92">
        <f t="shared" si="4"/>
        <v>180</v>
      </c>
      <c r="C92">
        <f t="shared" si="5"/>
        <v>1.0499999999999954E-3</v>
      </c>
      <c r="D92">
        <v>2.5945</v>
      </c>
      <c r="E92" s="1">
        <f t="shared" si="6"/>
        <v>0.48819444444444449</v>
      </c>
    </row>
    <row r="93" spans="1:5" x14ac:dyDescent="0.3">
      <c r="A93" t="s">
        <v>98</v>
      </c>
      <c r="B93">
        <f t="shared" si="4"/>
        <v>180</v>
      </c>
      <c r="C93">
        <f t="shared" si="5"/>
        <v>4.9500000000000097E-4</v>
      </c>
      <c r="D93">
        <v>1.7003999999999999</v>
      </c>
      <c r="E93" s="1">
        <f t="shared" si="6"/>
        <v>0.48888888888888893</v>
      </c>
    </row>
    <row r="94" spans="1:5" x14ac:dyDescent="0.3">
      <c r="A94" t="s">
        <v>99</v>
      </c>
      <c r="B94">
        <f t="shared" si="4"/>
        <v>180</v>
      </c>
      <c r="C94">
        <f t="shared" si="5"/>
        <v>6.1500000000000996E-4</v>
      </c>
      <c r="D94">
        <v>2.8372999999999999</v>
      </c>
      <c r="E94" s="1">
        <f t="shared" si="6"/>
        <v>0.49027777777777781</v>
      </c>
    </row>
    <row r="95" spans="1:5" x14ac:dyDescent="0.3">
      <c r="A95" t="s">
        <v>91</v>
      </c>
      <c r="B95">
        <f t="shared" si="4"/>
        <v>180</v>
      </c>
      <c r="C95">
        <f t="shared" si="5"/>
        <v>8.3000000000000847E-4</v>
      </c>
      <c r="D95">
        <v>1.4263999999999999</v>
      </c>
      <c r="E95" s="1">
        <f t="shared" si="6"/>
        <v>0.49097222222222225</v>
      </c>
    </row>
    <row r="96" spans="1:5" x14ac:dyDescent="0.3">
      <c r="A96" t="s">
        <v>92</v>
      </c>
      <c r="B96">
        <f t="shared" si="4"/>
        <v>180</v>
      </c>
      <c r="C96">
        <f t="shared" si="5"/>
        <v>5.5500000000000547E-4</v>
      </c>
      <c r="D96">
        <v>1.3050999999999999</v>
      </c>
      <c r="E96" s="1">
        <f t="shared" si="6"/>
        <v>0.4916666666666667</v>
      </c>
    </row>
    <row r="97" spans="1:5" x14ac:dyDescent="0.3">
      <c r="A97" t="s">
        <v>93</v>
      </c>
      <c r="B97">
        <f t="shared" si="4"/>
        <v>180</v>
      </c>
      <c r="C97">
        <f t="shared" si="5"/>
        <v>4.0000000000000034E-4</v>
      </c>
      <c r="D97">
        <v>0.88900000000000001</v>
      </c>
      <c r="E97" s="1">
        <f t="shared" si="6"/>
        <v>0.49236111111111114</v>
      </c>
    </row>
    <row r="98" spans="1:5" x14ac:dyDescent="0.3">
      <c r="A98" t="s">
        <v>94</v>
      </c>
      <c r="B98">
        <f t="shared" si="4"/>
        <v>180</v>
      </c>
      <c r="C98">
        <f t="shared" si="5"/>
        <v>8.1999999999999846E-4</v>
      </c>
      <c r="D98">
        <v>2.8138000000000001</v>
      </c>
      <c r="E98" s="1">
        <f t="shared" si="6"/>
        <v>0.49305555555555558</v>
      </c>
    </row>
    <row r="99" spans="1:5" x14ac:dyDescent="0.3">
      <c r="A99" t="s">
        <v>95</v>
      </c>
      <c r="B99">
        <f t="shared" si="4"/>
        <v>180</v>
      </c>
      <c r="C99">
        <f t="shared" si="5"/>
        <v>5.9000000000000166E-4</v>
      </c>
      <c r="D99">
        <v>1.4938</v>
      </c>
      <c r="E99" s="1">
        <f t="shared" si="6"/>
        <v>0.49375000000000002</v>
      </c>
    </row>
    <row r="100" spans="1:5" x14ac:dyDescent="0.3">
      <c r="A100" t="s">
        <v>96</v>
      </c>
      <c r="B100">
        <f t="shared" si="4"/>
        <v>180</v>
      </c>
      <c r="C100">
        <f t="shared" si="5"/>
        <v>1.0249999999999981E-3</v>
      </c>
      <c r="D100">
        <v>1.8231999999999999</v>
      </c>
      <c r="E100" s="1">
        <f t="shared" si="6"/>
        <v>0.49513888888888891</v>
      </c>
    </row>
    <row r="101" spans="1:5" x14ac:dyDescent="0.3">
      <c r="A101" t="s">
        <v>97</v>
      </c>
      <c r="B101">
        <f t="shared" si="4"/>
        <v>200</v>
      </c>
      <c r="C101">
        <f t="shared" si="5"/>
        <v>1.1400000000000078E-3</v>
      </c>
      <c r="D101">
        <v>2.5716999999999999</v>
      </c>
      <c r="E101" s="1">
        <f t="shared" si="6"/>
        <v>0.50208333333333333</v>
      </c>
    </row>
    <row r="102" spans="1:5" x14ac:dyDescent="0.3">
      <c r="A102" t="s">
        <v>98</v>
      </c>
      <c r="B102">
        <f t="shared" si="4"/>
        <v>200</v>
      </c>
      <c r="C102">
        <f t="shared" si="5"/>
        <v>5.6999999999999271E-4</v>
      </c>
      <c r="D102">
        <v>1.6890000000000001</v>
      </c>
      <c r="E102" s="1">
        <f t="shared" si="6"/>
        <v>0.50277777777777777</v>
      </c>
    </row>
    <row r="103" spans="1:5" x14ac:dyDescent="0.3">
      <c r="A103" t="s">
        <v>99</v>
      </c>
      <c r="B103">
        <f t="shared" si="4"/>
        <v>200</v>
      </c>
      <c r="C103">
        <f t="shared" si="5"/>
        <v>6.9999999999998948E-4</v>
      </c>
      <c r="D103">
        <v>2.8233000000000001</v>
      </c>
      <c r="E103" s="1">
        <f t="shared" si="6"/>
        <v>0.50416666666666665</v>
      </c>
    </row>
    <row r="104" spans="1:5" x14ac:dyDescent="0.3">
      <c r="A104" t="s">
        <v>91</v>
      </c>
      <c r="B104">
        <f t="shared" si="4"/>
        <v>200</v>
      </c>
      <c r="C104">
        <f t="shared" si="5"/>
        <v>8.0999999999999963E-4</v>
      </c>
      <c r="D104">
        <v>1.4101999999999999</v>
      </c>
      <c r="E104" s="1">
        <f t="shared" si="6"/>
        <v>0.50486111111111109</v>
      </c>
    </row>
    <row r="105" spans="1:5" x14ac:dyDescent="0.3">
      <c r="A105" t="s">
        <v>92</v>
      </c>
      <c r="B105">
        <f t="shared" si="4"/>
        <v>200</v>
      </c>
      <c r="C105">
        <f t="shared" si="5"/>
        <v>5.39999999999996E-4</v>
      </c>
      <c r="D105">
        <v>1.2943</v>
      </c>
      <c r="E105" s="1">
        <f t="shared" si="6"/>
        <v>0.50555555555555554</v>
      </c>
    </row>
    <row r="106" spans="1:5" x14ac:dyDescent="0.3">
      <c r="A106" t="s">
        <v>93</v>
      </c>
      <c r="B106">
        <f t="shared" si="4"/>
        <v>200</v>
      </c>
      <c r="C106">
        <f t="shared" si="5"/>
        <v>3.149999999999986E-4</v>
      </c>
      <c r="D106">
        <v>0.88270000000000004</v>
      </c>
      <c r="E106" s="1">
        <f t="shared" si="6"/>
        <v>0.50624999999999998</v>
      </c>
    </row>
    <row r="107" spans="1:5" x14ac:dyDescent="0.3">
      <c r="A107" t="s">
        <v>94</v>
      </c>
      <c r="B107">
        <f t="shared" si="4"/>
        <v>200</v>
      </c>
      <c r="C107">
        <f t="shared" si="5"/>
        <v>7.6000000000000514E-4</v>
      </c>
      <c r="D107">
        <v>2.7986</v>
      </c>
      <c r="E107" s="1">
        <f t="shared" si="6"/>
        <v>0.50694444444444442</v>
      </c>
    </row>
    <row r="108" spans="1:5" x14ac:dyDescent="0.3">
      <c r="A108" t="s">
        <v>95</v>
      </c>
      <c r="B108">
        <f t="shared" si="4"/>
        <v>200</v>
      </c>
      <c r="C108">
        <f t="shared" si="5"/>
        <v>5.6000000000000494E-4</v>
      </c>
      <c r="D108">
        <v>1.4825999999999999</v>
      </c>
      <c r="E108" s="1">
        <f t="shared" si="6"/>
        <v>0.50763888888888886</v>
      </c>
    </row>
    <row r="109" spans="1:5" x14ac:dyDescent="0.3">
      <c r="A109" t="s">
        <v>96</v>
      </c>
      <c r="B109">
        <f t="shared" si="4"/>
        <v>200</v>
      </c>
      <c r="C109">
        <f t="shared" si="5"/>
        <v>1.0599999999999943E-3</v>
      </c>
      <c r="D109">
        <v>1.802</v>
      </c>
      <c r="E109" s="1">
        <f t="shared" si="6"/>
        <v>0.50902777777777775</v>
      </c>
    </row>
    <row r="110" spans="1:5" x14ac:dyDescent="0.3">
      <c r="A110" t="s">
        <v>97</v>
      </c>
      <c r="B110">
        <f t="shared" si="4"/>
        <v>220</v>
      </c>
      <c r="C110">
        <f t="shared" si="5"/>
        <v>1.1449999999999961E-3</v>
      </c>
      <c r="D110">
        <v>2.5488</v>
      </c>
      <c r="E110" s="1">
        <f t="shared" si="6"/>
        <v>0.51597222222222217</v>
      </c>
    </row>
    <row r="111" spans="1:5" x14ac:dyDescent="0.3">
      <c r="A111" t="s">
        <v>98</v>
      </c>
      <c r="B111">
        <f t="shared" si="4"/>
        <v>220</v>
      </c>
      <c r="C111">
        <f t="shared" si="5"/>
        <v>5.7000000000000388E-4</v>
      </c>
      <c r="D111">
        <v>1.6776</v>
      </c>
      <c r="E111" s="1">
        <f t="shared" si="6"/>
        <v>0.51666666666666661</v>
      </c>
    </row>
    <row r="112" spans="1:5" x14ac:dyDescent="0.3">
      <c r="A112" t="s">
        <v>99</v>
      </c>
      <c r="B112">
        <f t="shared" si="4"/>
        <v>220</v>
      </c>
      <c r="C112">
        <f t="shared" si="5"/>
        <v>6.6500000000000445E-4</v>
      </c>
      <c r="D112">
        <v>2.81</v>
      </c>
      <c r="E112" s="1">
        <f t="shared" si="6"/>
        <v>0.51805555555555549</v>
      </c>
    </row>
    <row r="113" spans="1:5" x14ac:dyDescent="0.3">
      <c r="A113" t="s">
        <v>91</v>
      </c>
      <c r="B113">
        <f t="shared" si="4"/>
        <v>220</v>
      </c>
      <c r="C113">
        <f t="shared" si="5"/>
        <v>8.2999999999999741E-4</v>
      </c>
      <c r="D113">
        <v>1.3935999999999999</v>
      </c>
      <c r="E113" s="1">
        <f t="shared" si="6"/>
        <v>0.51874999999999993</v>
      </c>
    </row>
    <row r="114" spans="1:5" x14ac:dyDescent="0.3">
      <c r="A114" t="s">
        <v>92</v>
      </c>
      <c r="B114">
        <f t="shared" si="4"/>
        <v>220</v>
      </c>
      <c r="C114">
        <f t="shared" si="5"/>
        <v>5.0000000000000044E-4</v>
      </c>
      <c r="D114">
        <v>1.2843</v>
      </c>
      <c r="E114" s="1">
        <f t="shared" si="6"/>
        <v>0.51944444444444438</v>
      </c>
    </row>
    <row r="115" spans="1:5" x14ac:dyDescent="0.3">
      <c r="A115" t="s">
        <v>93</v>
      </c>
      <c r="B115">
        <f t="shared" si="4"/>
        <v>220</v>
      </c>
      <c r="C115">
        <f t="shared" si="5"/>
        <v>3.750000000000031E-4</v>
      </c>
      <c r="D115">
        <v>0.87519999999999998</v>
      </c>
      <c r="E115" s="1">
        <f t="shared" si="6"/>
        <v>0.52013888888888882</v>
      </c>
    </row>
    <row r="116" spans="1:5" x14ac:dyDescent="0.3">
      <c r="A116" t="s">
        <v>94</v>
      </c>
      <c r="B116">
        <f t="shared" si="4"/>
        <v>220</v>
      </c>
      <c r="C116">
        <f t="shared" si="5"/>
        <v>7.9000000000000186E-4</v>
      </c>
      <c r="D116">
        <v>2.7827999999999999</v>
      </c>
      <c r="E116" s="1">
        <f t="shared" si="6"/>
        <v>0.52083333333333326</v>
      </c>
    </row>
    <row r="117" spans="1:5" x14ac:dyDescent="0.3">
      <c r="A117" t="s">
        <v>95</v>
      </c>
      <c r="B117">
        <f t="shared" si="4"/>
        <v>220</v>
      </c>
      <c r="C117">
        <f t="shared" si="5"/>
        <v>5.0000000000000044E-4</v>
      </c>
      <c r="D117">
        <v>1.4725999999999999</v>
      </c>
      <c r="E117" s="1">
        <f t="shared" si="6"/>
        <v>0.5215277777777777</v>
      </c>
    </row>
    <row r="118" spans="1:5" x14ac:dyDescent="0.3">
      <c r="A118" t="s">
        <v>96</v>
      </c>
      <c r="B118">
        <f t="shared" si="4"/>
        <v>220</v>
      </c>
      <c r="C118">
        <f t="shared" si="5"/>
        <v>1.0600000000000054E-3</v>
      </c>
      <c r="D118">
        <v>1.7807999999999999</v>
      </c>
      <c r="E118" s="1">
        <f t="shared" si="6"/>
        <v>0.52291666666666659</v>
      </c>
    </row>
    <row r="119" spans="1:5" x14ac:dyDescent="0.3">
      <c r="A119" t="s">
        <v>97</v>
      </c>
      <c r="B119">
        <f t="shared" si="4"/>
        <v>240</v>
      </c>
      <c r="C119">
        <f t="shared" si="5"/>
        <v>1.1749999999999927E-3</v>
      </c>
      <c r="D119">
        <v>2.5253000000000001</v>
      </c>
      <c r="E119" s="1">
        <f t="shared" si="6"/>
        <v>0.52986111111111101</v>
      </c>
    </row>
    <row r="120" spans="1:5" x14ac:dyDescent="0.3">
      <c r="A120" t="s">
        <v>98</v>
      </c>
      <c r="B120">
        <f t="shared" si="4"/>
        <v>240</v>
      </c>
      <c r="C120">
        <f t="shared" si="5"/>
        <v>5.5499999999999441E-4</v>
      </c>
      <c r="D120">
        <v>1.6665000000000001</v>
      </c>
      <c r="E120" s="1">
        <f t="shared" si="6"/>
        <v>0.53055555555555545</v>
      </c>
    </row>
    <row r="121" spans="1:5" x14ac:dyDescent="0.3">
      <c r="A121" t="s">
        <v>99</v>
      </c>
      <c r="B121">
        <f t="shared" si="4"/>
        <v>240</v>
      </c>
      <c r="C121">
        <f t="shared" si="5"/>
        <v>6.2999999999999721E-4</v>
      </c>
      <c r="D121">
        <v>2.7974000000000001</v>
      </c>
      <c r="E121" s="1">
        <f t="shared" si="6"/>
        <v>0.53194444444444433</v>
      </c>
    </row>
    <row r="122" spans="1:5" x14ac:dyDescent="0.3">
      <c r="A122" t="s">
        <v>91</v>
      </c>
      <c r="B122">
        <f t="shared" si="4"/>
        <v>240</v>
      </c>
      <c r="C122">
        <f t="shared" si="5"/>
        <v>7.9000000000000186E-4</v>
      </c>
      <c r="D122">
        <v>1.3777999999999999</v>
      </c>
      <c r="E122" s="1">
        <f t="shared" si="6"/>
        <v>0.53263888888888877</v>
      </c>
    </row>
    <row r="123" spans="1:5" x14ac:dyDescent="0.3">
      <c r="A123" t="s">
        <v>92</v>
      </c>
      <c r="B123">
        <f t="shared" si="4"/>
        <v>240</v>
      </c>
      <c r="C123">
        <f t="shared" si="5"/>
        <v>5.39999999999996E-4</v>
      </c>
      <c r="D123">
        <v>1.2735000000000001</v>
      </c>
      <c r="E123" s="1">
        <f t="shared" si="6"/>
        <v>0.53333333333333321</v>
      </c>
    </row>
    <row r="124" spans="1:5" x14ac:dyDescent="0.3">
      <c r="A124" t="s">
        <v>93</v>
      </c>
      <c r="B124">
        <f t="shared" si="4"/>
        <v>240</v>
      </c>
      <c r="C124">
        <f t="shared" si="5"/>
        <v>3.4500000000000085E-4</v>
      </c>
      <c r="D124">
        <v>0.86829999999999996</v>
      </c>
      <c r="E124" s="1">
        <f t="shared" si="6"/>
        <v>0.53402777777777766</v>
      </c>
    </row>
    <row r="125" spans="1:5" x14ac:dyDescent="0.3">
      <c r="A125" t="s">
        <v>94</v>
      </c>
      <c r="B125">
        <f t="shared" si="4"/>
        <v>240</v>
      </c>
      <c r="C125">
        <f t="shared" si="5"/>
        <v>7.8499999999999122E-4</v>
      </c>
      <c r="D125">
        <v>2.7671000000000001</v>
      </c>
      <c r="E125" s="1">
        <f t="shared" si="6"/>
        <v>0.5347222222222221</v>
      </c>
    </row>
    <row r="126" spans="1:5" x14ac:dyDescent="0.3">
      <c r="A126" t="s">
        <v>95</v>
      </c>
      <c r="B126">
        <f t="shared" si="4"/>
        <v>240</v>
      </c>
      <c r="C126">
        <f t="shared" si="5"/>
        <v>5.8999999999999049E-4</v>
      </c>
      <c r="D126">
        <v>1.4608000000000001</v>
      </c>
      <c r="E126" s="1">
        <f t="shared" si="6"/>
        <v>0.53541666666666654</v>
      </c>
    </row>
    <row r="127" spans="1:5" x14ac:dyDescent="0.3">
      <c r="A127" t="s">
        <v>96</v>
      </c>
      <c r="B127">
        <f t="shared" si="4"/>
        <v>240</v>
      </c>
      <c r="C127">
        <f t="shared" si="5"/>
        <v>1.0599999999999943E-3</v>
      </c>
      <c r="D127">
        <v>1.7596000000000001</v>
      </c>
      <c r="E127" s="1">
        <f t="shared" si="6"/>
        <v>0.53680555555555542</v>
      </c>
    </row>
    <row r="128" spans="1:5" x14ac:dyDescent="0.3">
      <c r="A128" t="s">
        <v>97</v>
      </c>
      <c r="B128">
        <f t="shared" si="4"/>
        <v>260</v>
      </c>
      <c r="C128">
        <f t="shared" si="5"/>
        <v>1.1700000000000044E-3</v>
      </c>
      <c r="D128">
        <v>2.5019</v>
      </c>
      <c r="E128" s="1">
        <f t="shared" si="6"/>
        <v>0.54374999999999984</v>
      </c>
    </row>
    <row r="129" spans="1:5" x14ac:dyDescent="0.3">
      <c r="A129" t="s">
        <v>98</v>
      </c>
      <c r="B129">
        <f t="shared" si="4"/>
        <v>260</v>
      </c>
      <c r="C129">
        <f t="shared" si="5"/>
        <v>5.1500000000000992E-4</v>
      </c>
      <c r="D129">
        <v>1.6561999999999999</v>
      </c>
      <c r="E129" s="1">
        <f t="shared" si="6"/>
        <v>0.54444444444444429</v>
      </c>
    </row>
    <row r="130" spans="1:5" x14ac:dyDescent="0.3">
      <c r="A130" t="s">
        <v>99</v>
      </c>
      <c r="B130">
        <f t="shared" si="4"/>
        <v>260</v>
      </c>
      <c r="C130">
        <f t="shared" si="5"/>
        <v>6.1999999999999837E-4</v>
      </c>
      <c r="D130">
        <v>2.7850000000000001</v>
      </c>
      <c r="E130" s="1">
        <f t="shared" si="6"/>
        <v>0.54583333333333317</v>
      </c>
    </row>
    <row r="131" spans="1:5" x14ac:dyDescent="0.3">
      <c r="A131" t="s">
        <v>91</v>
      </c>
      <c r="B131">
        <f t="shared" si="4"/>
        <v>260</v>
      </c>
      <c r="C131">
        <f t="shared" si="5"/>
        <v>7.5999999999999397E-4</v>
      </c>
      <c r="D131">
        <v>1.3626</v>
      </c>
      <c r="E131" s="1">
        <f t="shared" si="6"/>
        <v>0.54652777777777761</v>
      </c>
    </row>
    <row r="132" spans="1:5" x14ac:dyDescent="0.3">
      <c r="A132" t="s">
        <v>92</v>
      </c>
      <c r="B132">
        <f t="shared" si="4"/>
        <v>260</v>
      </c>
      <c r="C132">
        <f t="shared" si="5"/>
        <v>5.4500000000000663E-4</v>
      </c>
      <c r="D132">
        <v>1.2625999999999999</v>
      </c>
      <c r="E132" s="1">
        <f t="shared" si="6"/>
        <v>0.54722222222222205</v>
      </c>
    </row>
    <row r="133" spans="1:5" x14ac:dyDescent="0.3">
      <c r="A133" t="s">
        <v>93</v>
      </c>
      <c r="B133">
        <f t="shared" si="4"/>
        <v>260</v>
      </c>
      <c r="C133">
        <f t="shared" si="5"/>
        <v>3.699999999999981E-4</v>
      </c>
      <c r="D133">
        <v>0.8609</v>
      </c>
      <c r="E133" s="1">
        <f t="shared" si="6"/>
        <v>0.5479166666666665</v>
      </c>
    </row>
    <row r="134" spans="1:5" x14ac:dyDescent="0.3">
      <c r="A134" t="s">
        <v>94</v>
      </c>
      <c r="B134">
        <f t="shared" si="4"/>
        <v>260</v>
      </c>
      <c r="C134">
        <f t="shared" si="5"/>
        <v>7.7500000000001461E-4</v>
      </c>
      <c r="D134">
        <v>2.7515999999999998</v>
      </c>
      <c r="E134" s="1">
        <f t="shared" si="6"/>
        <v>0.54861111111111094</v>
      </c>
    </row>
    <row r="135" spans="1:5" x14ac:dyDescent="0.3">
      <c r="A135" t="s">
        <v>95</v>
      </c>
      <c r="B135">
        <f t="shared" si="4"/>
        <v>260</v>
      </c>
      <c r="C135">
        <f t="shared" si="5"/>
        <v>5.7000000000000388E-4</v>
      </c>
      <c r="D135">
        <v>1.4494</v>
      </c>
      <c r="E135" s="1">
        <f t="shared" si="6"/>
        <v>0.54930555555555538</v>
      </c>
    </row>
    <row r="136" spans="1:5" x14ac:dyDescent="0.3">
      <c r="A136" t="s">
        <v>96</v>
      </c>
      <c r="B136">
        <f t="shared" si="4"/>
        <v>260</v>
      </c>
      <c r="C136">
        <f t="shared" si="5"/>
        <v>9.7500000000000364E-4</v>
      </c>
      <c r="D136">
        <v>1.7401</v>
      </c>
      <c r="E136" s="1">
        <f t="shared" si="6"/>
        <v>0.55069444444444426</v>
      </c>
    </row>
    <row r="137" spans="1:5" x14ac:dyDescent="0.3">
      <c r="E137" s="1"/>
    </row>
    <row r="138" spans="1:5" x14ac:dyDescent="0.3">
      <c r="E13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5320-9644-4713-B67A-315EB46421E6}">
  <dimension ref="A1:F146"/>
  <sheetViews>
    <sheetView topLeftCell="A113" workbookViewId="0">
      <selection activeCell="D136" sqref="D136"/>
    </sheetView>
  </sheetViews>
  <sheetFormatPr baseColWidth="10" defaultRowHeight="14.4" x14ac:dyDescent="0.3"/>
  <cols>
    <col min="5" max="5" width="19" bestFit="1" customWidth="1"/>
  </cols>
  <sheetData>
    <row r="1" spans="1:6" x14ac:dyDescent="0.3">
      <c r="A1" t="s">
        <v>0</v>
      </c>
      <c r="B1" t="s">
        <v>59</v>
      </c>
      <c r="C1" t="s">
        <v>133</v>
      </c>
      <c r="D1" t="s">
        <v>50</v>
      </c>
      <c r="E1" t="s">
        <v>8</v>
      </c>
      <c r="F1" t="s">
        <v>20</v>
      </c>
    </row>
    <row r="2" spans="1:6" x14ac:dyDescent="0.3">
      <c r="A2" t="s">
        <v>125</v>
      </c>
      <c r="D2">
        <v>1.9244000000000001</v>
      </c>
      <c r="E2" s="1">
        <v>0.3840277777777778</v>
      </c>
      <c r="F2" s="3">
        <v>46175</v>
      </c>
    </row>
    <row r="3" spans="1:6" x14ac:dyDescent="0.3">
      <c r="A3" t="s">
        <v>126</v>
      </c>
      <c r="D3">
        <v>3.6764000000000001</v>
      </c>
      <c r="E3" s="1">
        <v>0.38541666666666669</v>
      </c>
      <c r="F3" s="3">
        <v>46175</v>
      </c>
    </row>
    <row r="4" spans="1:6" x14ac:dyDescent="0.3">
      <c r="A4" t="s">
        <v>127</v>
      </c>
      <c r="D4">
        <v>3.1789999999999998</v>
      </c>
      <c r="E4" s="1">
        <v>0.38611111111111113</v>
      </c>
      <c r="F4" s="3">
        <v>46175</v>
      </c>
    </row>
    <row r="5" spans="1:6" x14ac:dyDescent="0.3">
      <c r="A5" t="s">
        <v>128</v>
      </c>
      <c r="D5">
        <v>3.6114999999999999</v>
      </c>
      <c r="E5" s="1">
        <v>0.38750000000000001</v>
      </c>
      <c r="F5" s="3">
        <v>46175</v>
      </c>
    </row>
    <row r="6" spans="1:6" x14ac:dyDescent="0.3">
      <c r="A6" t="s">
        <v>129</v>
      </c>
      <c r="D6">
        <v>3.1312000000000002</v>
      </c>
      <c r="E6" s="1">
        <v>0.38819444444444445</v>
      </c>
      <c r="F6" s="3">
        <v>46175</v>
      </c>
    </row>
    <row r="7" spans="1:6" x14ac:dyDescent="0.3">
      <c r="A7" t="s">
        <v>130</v>
      </c>
      <c r="D7">
        <v>2.3218000000000001</v>
      </c>
      <c r="E7" s="1">
        <v>0.3888888888888889</v>
      </c>
      <c r="F7" s="3">
        <v>46175</v>
      </c>
    </row>
    <row r="8" spans="1:6" x14ac:dyDescent="0.3">
      <c r="A8" t="s">
        <v>102</v>
      </c>
      <c r="D8">
        <v>1.2523</v>
      </c>
      <c r="E8" s="1">
        <v>0.38958333333333334</v>
      </c>
      <c r="F8" s="3">
        <v>46175</v>
      </c>
    </row>
    <row r="9" spans="1:6" x14ac:dyDescent="0.3">
      <c r="A9" t="s">
        <v>131</v>
      </c>
      <c r="D9">
        <v>2.2498</v>
      </c>
      <c r="E9" s="1">
        <v>0.39027777777777778</v>
      </c>
      <c r="F9" s="3">
        <v>46175</v>
      </c>
    </row>
    <row r="10" spans="1:6" x14ac:dyDescent="0.3">
      <c r="A10" t="s">
        <v>132</v>
      </c>
      <c r="D10">
        <v>1.4661</v>
      </c>
      <c r="E10" s="1">
        <v>0.39097222222222222</v>
      </c>
      <c r="F10" s="3">
        <v>46175</v>
      </c>
    </row>
    <row r="11" spans="1:6" x14ac:dyDescent="0.3">
      <c r="A11" t="s">
        <v>125</v>
      </c>
      <c r="B11">
        <v>0</v>
      </c>
      <c r="C11">
        <v>0</v>
      </c>
      <c r="D11">
        <v>1.9067000000000001</v>
      </c>
      <c r="E11" s="1">
        <f>E2+12/1440</f>
        <v>0.39236111111111116</v>
      </c>
      <c r="F11" s="3">
        <v>46175</v>
      </c>
    </row>
    <row r="12" spans="1:6" x14ac:dyDescent="0.3">
      <c r="A12" t="s">
        <v>126</v>
      </c>
      <c r="B12">
        <v>0</v>
      </c>
      <c r="C12">
        <v>0</v>
      </c>
      <c r="D12">
        <v>3.6524999999999999</v>
      </c>
      <c r="E12" s="1">
        <f t="shared" ref="E12:E19" si="0">E3+12/1440</f>
        <v>0.39375000000000004</v>
      </c>
      <c r="F12" s="3">
        <v>46175</v>
      </c>
    </row>
    <row r="13" spans="1:6" x14ac:dyDescent="0.3">
      <c r="A13" t="s">
        <v>127</v>
      </c>
      <c r="B13">
        <v>0</v>
      </c>
      <c r="C13">
        <v>0</v>
      </c>
      <c r="D13">
        <v>3.1682999999999999</v>
      </c>
      <c r="E13" s="1">
        <f t="shared" si="0"/>
        <v>0.39444444444444449</v>
      </c>
      <c r="F13" s="3">
        <v>46175</v>
      </c>
    </row>
    <row r="14" spans="1:6" x14ac:dyDescent="0.3">
      <c r="A14" t="s">
        <v>128</v>
      </c>
      <c r="B14">
        <v>0</v>
      </c>
      <c r="C14">
        <v>0</v>
      </c>
      <c r="D14">
        <v>3.5981000000000001</v>
      </c>
      <c r="E14" s="1">
        <f t="shared" si="0"/>
        <v>0.39583333333333337</v>
      </c>
      <c r="F14" s="3">
        <v>46175</v>
      </c>
    </row>
    <row r="15" spans="1:6" x14ac:dyDescent="0.3">
      <c r="A15" t="s">
        <v>129</v>
      </c>
      <c r="B15">
        <v>0</v>
      </c>
      <c r="C15">
        <v>0</v>
      </c>
      <c r="D15">
        <v>3.1215000000000002</v>
      </c>
      <c r="E15" s="1">
        <f t="shared" si="0"/>
        <v>0.39652777777777781</v>
      </c>
      <c r="F15" s="3">
        <v>46175</v>
      </c>
    </row>
    <row r="16" spans="1:6" x14ac:dyDescent="0.3">
      <c r="A16" t="s">
        <v>130</v>
      </c>
      <c r="B16">
        <v>0</v>
      </c>
      <c r="C16">
        <v>0</v>
      </c>
      <c r="D16">
        <v>2.3109000000000002</v>
      </c>
      <c r="E16" s="1">
        <f t="shared" si="0"/>
        <v>0.39722222222222225</v>
      </c>
      <c r="F16" s="3">
        <v>46175</v>
      </c>
    </row>
    <row r="17" spans="1:6" x14ac:dyDescent="0.3">
      <c r="A17" t="s">
        <v>102</v>
      </c>
      <c r="B17">
        <v>0</v>
      </c>
      <c r="C17">
        <v>0</v>
      </c>
      <c r="D17">
        <v>1.2423</v>
      </c>
      <c r="E17" s="1">
        <f t="shared" si="0"/>
        <v>0.3979166666666667</v>
      </c>
      <c r="F17" s="3">
        <v>46175</v>
      </c>
    </row>
    <row r="18" spans="1:6" x14ac:dyDescent="0.3">
      <c r="A18" t="s">
        <v>131</v>
      </c>
      <c r="B18">
        <v>0</v>
      </c>
      <c r="C18">
        <v>0</v>
      </c>
      <c r="D18">
        <v>2.2372000000000001</v>
      </c>
      <c r="E18" s="1">
        <f t="shared" si="0"/>
        <v>0.39861111111111114</v>
      </c>
      <c r="F18" s="3">
        <v>46175</v>
      </c>
    </row>
    <row r="19" spans="1:6" x14ac:dyDescent="0.3">
      <c r="A19" t="s">
        <v>132</v>
      </c>
      <c r="B19">
        <v>0</v>
      </c>
      <c r="C19">
        <v>0</v>
      </c>
      <c r="D19">
        <v>1.4585999999999999</v>
      </c>
      <c r="E19" s="1">
        <f t="shared" si="0"/>
        <v>0.39930555555555558</v>
      </c>
      <c r="F19" s="3">
        <v>46175</v>
      </c>
    </row>
    <row r="20" spans="1:6" x14ac:dyDescent="0.3">
      <c r="A20" t="s">
        <v>125</v>
      </c>
      <c r="B20">
        <f>B11+20</f>
        <v>20</v>
      </c>
      <c r="C20">
        <f>(D11-D20)/20</f>
        <v>1.5550000000000065E-3</v>
      </c>
      <c r="D20">
        <v>1.8755999999999999</v>
      </c>
      <c r="E20" s="1">
        <f>E11+20/1440</f>
        <v>0.40625000000000006</v>
      </c>
      <c r="F20" s="3">
        <v>46175</v>
      </c>
    </row>
    <row r="21" spans="1:6" x14ac:dyDescent="0.3">
      <c r="A21" t="s">
        <v>126</v>
      </c>
      <c r="B21">
        <f t="shared" ref="B21:B84" si="1">B12+20</f>
        <v>20</v>
      </c>
      <c r="C21">
        <f t="shared" ref="C21:C84" si="2">(D12-D21)/20</f>
        <v>1.4599999999999947E-3</v>
      </c>
      <c r="D21">
        <v>3.6233</v>
      </c>
      <c r="E21" s="1">
        <f t="shared" ref="E21:E84" si="3">E12+20/1440</f>
        <v>0.40763888888888894</v>
      </c>
      <c r="F21" s="3">
        <v>46175</v>
      </c>
    </row>
    <row r="22" spans="1:6" x14ac:dyDescent="0.3">
      <c r="A22" t="s">
        <v>127</v>
      </c>
      <c r="B22">
        <f t="shared" si="1"/>
        <v>20</v>
      </c>
      <c r="C22">
        <f t="shared" si="2"/>
        <v>9.2999999999998639E-4</v>
      </c>
      <c r="D22">
        <v>3.1497000000000002</v>
      </c>
      <c r="E22" s="1">
        <f t="shared" si="3"/>
        <v>0.40833333333333338</v>
      </c>
      <c r="F22" s="3">
        <v>46175</v>
      </c>
    </row>
    <row r="23" spans="1:6" x14ac:dyDescent="0.3">
      <c r="A23" t="s">
        <v>128</v>
      </c>
      <c r="B23">
        <f t="shared" si="1"/>
        <v>20</v>
      </c>
      <c r="C23">
        <f t="shared" si="2"/>
        <v>1.200000000000001E-3</v>
      </c>
      <c r="D23">
        <v>3.5741000000000001</v>
      </c>
      <c r="E23" s="1">
        <f t="shared" si="3"/>
        <v>0.40972222222222227</v>
      </c>
      <c r="F23" s="3">
        <v>46175</v>
      </c>
    </row>
    <row r="24" spans="1:6" x14ac:dyDescent="0.3">
      <c r="A24" t="s">
        <v>129</v>
      </c>
      <c r="B24">
        <f t="shared" si="1"/>
        <v>20</v>
      </c>
      <c r="C24">
        <f t="shared" si="2"/>
        <v>6.5000000000001721E-4</v>
      </c>
      <c r="D24">
        <v>3.1084999999999998</v>
      </c>
      <c r="E24" s="1">
        <f t="shared" si="3"/>
        <v>0.41041666666666671</v>
      </c>
      <c r="F24" s="3">
        <v>46175</v>
      </c>
    </row>
    <row r="25" spans="1:6" x14ac:dyDescent="0.3">
      <c r="A25" t="s">
        <v>130</v>
      </c>
      <c r="B25">
        <f t="shared" si="1"/>
        <v>20</v>
      </c>
      <c r="C25">
        <f t="shared" si="2"/>
        <v>6.8000000000001393E-4</v>
      </c>
      <c r="D25">
        <v>2.2972999999999999</v>
      </c>
      <c r="E25" s="1">
        <f t="shared" si="3"/>
        <v>0.41111111111111115</v>
      </c>
      <c r="F25" s="3">
        <v>46175</v>
      </c>
    </row>
    <row r="26" spans="1:6" x14ac:dyDescent="0.3">
      <c r="A26" t="s">
        <v>102</v>
      </c>
      <c r="B26">
        <f t="shared" si="1"/>
        <v>20</v>
      </c>
      <c r="C26">
        <f t="shared" si="2"/>
        <v>8.7499999999999243E-4</v>
      </c>
      <c r="D26">
        <v>1.2248000000000001</v>
      </c>
      <c r="E26" s="1">
        <f t="shared" si="3"/>
        <v>0.41180555555555559</v>
      </c>
      <c r="F26" s="3">
        <v>46175</v>
      </c>
    </row>
    <row r="27" spans="1:6" x14ac:dyDescent="0.3">
      <c r="A27" t="s">
        <v>131</v>
      </c>
      <c r="B27">
        <f t="shared" si="1"/>
        <v>20</v>
      </c>
      <c r="C27">
        <f t="shared" si="2"/>
        <v>9.3499999999999692E-4</v>
      </c>
      <c r="D27">
        <v>2.2185000000000001</v>
      </c>
      <c r="E27" s="1">
        <f t="shared" si="3"/>
        <v>0.41250000000000003</v>
      </c>
      <c r="F27" s="3">
        <v>46175</v>
      </c>
    </row>
    <row r="28" spans="1:6" x14ac:dyDescent="0.3">
      <c r="A28" t="s">
        <v>132</v>
      </c>
      <c r="B28">
        <f t="shared" si="1"/>
        <v>20</v>
      </c>
      <c r="C28">
        <f t="shared" si="2"/>
        <v>9.9999999999998983E-4</v>
      </c>
      <c r="D28">
        <v>1.4386000000000001</v>
      </c>
      <c r="E28" s="1">
        <f t="shared" si="3"/>
        <v>0.41319444444444448</v>
      </c>
      <c r="F28" s="3">
        <v>46175</v>
      </c>
    </row>
    <row r="29" spans="1:6" x14ac:dyDescent="0.3">
      <c r="A29" t="s">
        <v>125</v>
      </c>
      <c r="B29">
        <f t="shared" si="1"/>
        <v>40</v>
      </c>
      <c r="C29">
        <f t="shared" si="2"/>
        <v>1.3549999999999951E-3</v>
      </c>
      <c r="D29">
        <v>1.8485</v>
      </c>
      <c r="E29" s="1">
        <f t="shared" si="3"/>
        <v>0.42013888888888895</v>
      </c>
      <c r="F29" s="3">
        <v>46175</v>
      </c>
    </row>
    <row r="30" spans="1:6" x14ac:dyDescent="0.3">
      <c r="A30" t="s">
        <v>126</v>
      </c>
      <c r="B30">
        <f t="shared" si="1"/>
        <v>40</v>
      </c>
      <c r="C30">
        <f t="shared" si="2"/>
        <v>1.6999999999999904E-3</v>
      </c>
      <c r="D30">
        <v>3.5893000000000002</v>
      </c>
      <c r="E30" s="1">
        <f t="shared" si="3"/>
        <v>0.42152777777777783</v>
      </c>
      <c r="F30" s="3">
        <v>46175</v>
      </c>
    </row>
    <row r="31" spans="1:6" x14ac:dyDescent="0.3">
      <c r="A31" t="s">
        <v>127</v>
      </c>
      <c r="B31">
        <f t="shared" si="1"/>
        <v>40</v>
      </c>
      <c r="C31">
        <f t="shared" si="2"/>
        <v>9.2000000000000968E-4</v>
      </c>
      <c r="D31">
        <v>3.1313</v>
      </c>
      <c r="E31" s="1">
        <f t="shared" si="3"/>
        <v>0.42222222222222228</v>
      </c>
      <c r="F31" s="3">
        <v>46175</v>
      </c>
    </row>
    <row r="32" spans="1:6" x14ac:dyDescent="0.3">
      <c r="A32" t="s">
        <v>128</v>
      </c>
      <c r="B32">
        <f t="shared" si="1"/>
        <v>40</v>
      </c>
      <c r="C32">
        <f t="shared" si="2"/>
        <v>1.0099999999999998E-3</v>
      </c>
      <c r="D32">
        <v>3.5539000000000001</v>
      </c>
      <c r="E32" s="1">
        <f t="shared" si="3"/>
        <v>0.42361111111111116</v>
      </c>
      <c r="F32" s="3">
        <v>46175</v>
      </c>
    </row>
    <row r="33" spans="1:6" x14ac:dyDescent="0.3">
      <c r="A33" t="s">
        <v>129</v>
      </c>
      <c r="B33">
        <f t="shared" si="1"/>
        <v>40</v>
      </c>
      <c r="C33">
        <f t="shared" si="2"/>
        <v>7.1499999999999895E-4</v>
      </c>
      <c r="D33">
        <v>3.0941999999999998</v>
      </c>
      <c r="E33" s="1">
        <f t="shared" si="3"/>
        <v>0.4243055555555556</v>
      </c>
      <c r="F33" s="3">
        <v>46175</v>
      </c>
    </row>
    <row r="34" spans="1:6" x14ac:dyDescent="0.3">
      <c r="A34" t="s">
        <v>130</v>
      </c>
      <c r="B34">
        <f t="shared" si="1"/>
        <v>40</v>
      </c>
      <c r="C34">
        <f t="shared" si="2"/>
        <v>8.3499999999998571E-4</v>
      </c>
      <c r="D34">
        <v>2.2806000000000002</v>
      </c>
      <c r="E34" s="1">
        <f t="shared" si="3"/>
        <v>0.42500000000000004</v>
      </c>
      <c r="F34" s="3">
        <v>46175</v>
      </c>
    </row>
    <row r="35" spans="1:6" x14ac:dyDescent="0.3">
      <c r="A35" t="s">
        <v>102</v>
      </c>
      <c r="B35">
        <f t="shared" si="1"/>
        <v>40</v>
      </c>
      <c r="C35">
        <f t="shared" si="2"/>
        <v>9.2000000000000968E-4</v>
      </c>
      <c r="D35">
        <v>1.2063999999999999</v>
      </c>
      <c r="E35" s="1">
        <f t="shared" si="3"/>
        <v>0.42569444444444449</v>
      </c>
      <c r="F35" s="3">
        <v>46175</v>
      </c>
    </row>
    <row r="36" spans="1:6" x14ac:dyDescent="0.3">
      <c r="A36" t="s">
        <v>131</v>
      </c>
      <c r="B36">
        <f t="shared" si="1"/>
        <v>40</v>
      </c>
      <c r="C36">
        <f t="shared" si="2"/>
        <v>9.3000000000000862E-4</v>
      </c>
      <c r="D36">
        <v>2.1999</v>
      </c>
      <c r="E36" s="1">
        <f t="shared" si="3"/>
        <v>0.42638888888888893</v>
      </c>
      <c r="F36" s="3">
        <v>46175</v>
      </c>
    </row>
    <row r="37" spans="1:6" x14ac:dyDescent="0.3">
      <c r="A37" t="s">
        <v>132</v>
      </c>
      <c r="B37">
        <f t="shared" si="1"/>
        <v>40</v>
      </c>
      <c r="C37">
        <f t="shared" si="2"/>
        <v>8.750000000000036E-4</v>
      </c>
      <c r="D37">
        <v>1.4211</v>
      </c>
      <c r="E37" s="1">
        <f t="shared" si="3"/>
        <v>0.42708333333333337</v>
      </c>
      <c r="F37" s="3">
        <v>46175</v>
      </c>
    </row>
    <row r="38" spans="1:6" x14ac:dyDescent="0.3">
      <c r="A38" t="s">
        <v>125</v>
      </c>
      <c r="B38">
        <f t="shared" si="1"/>
        <v>60</v>
      </c>
      <c r="C38">
        <f t="shared" si="2"/>
        <v>1.4449999999999962E-3</v>
      </c>
      <c r="D38">
        <v>1.8196000000000001</v>
      </c>
      <c r="E38" s="1">
        <f t="shared" si="3"/>
        <v>0.43402777777777785</v>
      </c>
      <c r="F38" s="3">
        <v>46175</v>
      </c>
    </row>
    <row r="39" spans="1:6" x14ac:dyDescent="0.3">
      <c r="A39" t="s">
        <v>126</v>
      </c>
      <c r="B39">
        <f t="shared" si="1"/>
        <v>60</v>
      </c>
      <c r="C39">
        <f t="shared" si="2"/>
        <v>1.7900000000000027E-3</v>
      </c>
      <c r="D39">
        <v>3.5535000000000001</v>
      </c>
      <c r="E39" s="1">
        <f t="shared" si="3"/>
        <v>0.43541666666666673</v>
      </c>
      <c r="F39" s="3">
        <v>46175</v>
      </c>
    </row>
    <row r="40" spans="1:6" x14ac:dyDescent="0.3">
      <c r="A40" t="s">
        <v>127</v>
      </c>
      <c r="B40">
        <f t="shared" si="1"/>
        <v>60</v>
      </c>
      <c r="C40">
        <f t="shared" si="2"/>
        <v>1.0099999999999998E-3</v>
      </c>
      <c r="D40">
        <v>3.1111</v>
      </c>
      <c r="E40" s="1">
        <f t="shared" si="3"/>
        <v>0.43611111111111117</v>
      </c>
      <c r="F40" s="3">
        <v>46175</v>
      </c>
    </row>
    <row r="41" spans="1:6" x14ac:dyDescent="0.3">
      <c r="A41" t="s">
        <v>128</v>
      </c>
      <c r="B41">
        <f t="shared" si="1"/>
        <v>60</v>
      </c>
      <c r="C41">
        <f t="shared" si="2"/>
        <v>1.1249999999999982E-3</v>
      </c>
      <c r="D41">
        <v>3.5314000000000001</v>
      </c>
      <c r="E41" s="1">
        <f t="shared" si="3"/>
        <v>0.43750000000000006</v>
      </c>
      <c r="F41" s="3">
        <v>46175</v>
      </c>
    </row>
    <row r="42" spans="1:6" x14ac:dyDescent="0.3">
      <c r="A42" t="s">
        <v>129</v>
      </c>
      <c r="B42">
        <f t="shared" si="1"/>
        <v>60</v>
      </c>
      <c r="C42">
        <f t="shared" si="2"/>
        <v>6.799999999999917E-4</v>
      </c>
      <c r="D42">
        <v>3.0806</v>
      </c>
      <c r="E42" s="1">
        <f t="shared" si="3"/>
        <v>0.4381944444444445</v>
      </c>
      <c r="F42" s="3">
        <v>46175</v>
      </c>
    </row>
    <row r="43" spans="1:6" x14ac:dyDescent="0.3">
      <c r="A43" t="s">
        <v>130</v>
      </c>
      <c r="B43">
        <f t="shared" si="1"/>
        <v>60</v>
      </c>
      <c r="C43">
        <f t="shared" si="2"/>
        <v>9.1499999999999915E-4</v>
      </c>
      <c r="D43">
        <v>2.2623000000000002</v>
      </c>
      <c r="E43" s="1">
        <f t="shared" si="3"/>
        <v>0.43888888888888894</v>
      </c>
      <c r="F43" s="3">
        <v>46175</v>
      </c>
    </row>
    <row r="44" spans="1:6" x14ac:dyDescent="0.3">
      <c r="A44" t="s">
        <v>102</v>
      </c>
      <c r="B44">
        <f t="shared" si="1"/>
        <v>60</v>
      </c>
      <c r="C44">
        <f t="shared" si="2"/>
        <v>8.8499999999999137E-4</v>
      </c>
      <c r="D44">
        <v>1.1887000000000001</v>
      </c>
      <c r="E44" s="1">
        <f t="shared" si="3"/>
        <v>0.43958333333333338</v>
      </c>
      <c r="F44" s="3">
        <v>46175</v>
      </c>
    </row>
    <row r="45" spans="1:6" x14ac:dyDescent="0.3">
      <c r="A45" t="s">
        <v>131</v>
      </c>
      <c r="B45">
        <f t="shared" si="1"/>
        <v>60</v>
      </c>
      <c r="C45">
        <f t="shared" si="2"/>
        <v>9.80000000000003E-4</v>
      </c>
      <c r="D45">
        <v>2.1802999999999999</v>
      </c>
      <c r="E45" s="1">
        <f t="shared" si="3"/>
        <v>0.44027777777777782</v>
      </c>
      <c r="F45" s="3">
        <v>46175</v>
      </c>
    </row>
    <row r="46" spans="1:6" x14ac:dyDescent="0.3">
      <c r="A46" t="s">
        <v>132</v>
      </c>
      <c r="B46">
        <f t="shared" si="1"/>
        <v>60</v>
      </c>
      <c r="C46">
        <f t="shared" si="2"/>
        <v>8.0000000000000069E-4</v>
      </c>
      <c r="D46">
        <v>1.4051</v>
      </c>
      <c r="E46" s="1">
        <f t="shared" si="3"/>
        <v>0.44097222222222227</v>
      </c>
      <c r="F46" s="3">
        <v>46175</v>
      </c>
    </row>
    <row r="47" spans="1:6" x14ac:dyDescent="0.3">
      <c r="A47" t="s">
        <v>125</v>
      </c>
      <c r="B47">
        <f t="shared" si="1"/>
        <v>80</v>
      </c>
      <c r="C47">
        <f t="shared" si="2"/>
        <v>1.4500000000000068E-3</v>
      </c>
      <c r="D47">
        <v>1.7906</v>
      </c>
      <c r="E47" s="1">
        <f t="shared" si="3"/>
        <v>0.44791666666666674</v>
      </c>
      <c r="F47" s="3">
        <v>46175</v>
      </c>
    </row>
    <row r="48" spans="1:6" x14ac:dyDescent="0.3">
      <c r="A48" t="s">
        <v>126</v>
      </c>
      <c r="B48">
        <f t="shared" si="1"/>
        <v>80</v>
      </c>
      <c r="C48">
        <f t="shared" si="2"/>
        <v>2.4050000000000126E-3</v>
      </c>
      <c r="D48">
        <v>3.5053999999999998</v>
      </c>
      <c r="E48" s="1">
        <f t="shared" si="3"/>
        <v>0.44930555555555562</v>
      </c>
      <c r="F48" s="3">
        <v>46175</v>
      </c>
    </row>
    <row r="49" spans="1:6" x14ac:dyDescent="0.3">
      <c r="A49" t="s">
        <v>127</v>
      </c>
      <c r="B49">
        <f t="shared" si="1"/>
        <v>80</v>
      </c>
      <c r="C49">
        <f t="shared" si="2"/>
        <v>1.1800000000000033E-3</v>
      </c>
      <c r="D49">
        <v>3.0874999999999999</v>
      </c>
      <c r="E49" s="1">
        <f t="shared" si="3"/>
        <v>0.45000000000000007</v>
      </c>
      <c r="F49" s="3">
        <v>46175</v>
      </c>
    </row>
    <row r="50" spans="1:6" x14ac:dyDescent="0.3">
      <c r="A50" t="s">
        <v>128</v>
      </c>
      <c r="B50">
        <f t="shared" si="1"/>
        <v>80</v>
      </c>
      <c r="C50">
        <f t="shared" si="2"/>
        <v>1.0900000000000133E-3</v>
      </c>
      <c r="D50">
        <v>3.5095999999999998</v>
      </c>
      <c r="E50" s="1">
        <f t="shared" si="3"/>
        <v>0.45138888888888895</v>
      </c>
      <c r="F50" s="3">
        <v>46175</v>
      </c>
    </row>
    <row r="51" spans="1:6" x14ac:dyDescent="0.3">
      <c r="A51" t="s">
        <v>129</v>
      </c>
      <c r="B51">
        <f t="shared" si="1"/>
        <v>80</v>
      </c>
      <c r="C51">
        <f t="shared" si="2"/>
        <v>6.6999999999999287E-4</v>
      </c>
      <c r="D51">
        <v>3.0672000000000001</v>
      </c>
      <c r="E51" s="1">
        <f t="shared" si="3"/>
        <v>0.45208333333333339</v>
      </c>
      <c r="F51" s="3">
        <v>46175</v>
      </c>
    </row>
    <row r="52" spans="1:6" x14ac:dyDescent="0.3">
      <c r="A52" t="s">
        <v>130</v>
      </c>
      <c r="B52">
        <f t="shared" si="1"/>
        <v>80</v>
      </c>
      <c r="C52">
        <f t="shared" si="2"/>
        <v>1.2099999999999999E-3</v>
      </c>
      <c r="D52">
        <v>2.2381000000000002</v>
      </c>
      <c r="E52" s="1">
        <f t="shared" si="3"/>
        <v>0.45277777777777783</v>
      </c>
      <c r="F52" s="3">
        <v>46175</v>
      </c>
    </row>
    <row r="53" spans="1:6" x14ac:dyDescent="0.3">
      <c r="A53" t="s">
        <v>102</v>
      </c>
      <c r="B53">
        <f t="shared" si="1"/>
        <v>80</v>
      </c>
      <c r="C53">
        <f t="shared" si="2"/>
        <v>9.3500000000000809E-4</v>
      </c>
      <c r="D53">
        <v>1.17</v>
      </c>
      <c r="E53" s="1">
        <f t="shared" si="3"/>
        <v>0.45347222222222228</v>
      </c>
      <c r="F53" s="3">
        <v>46175</v>
      </c>
    </row>
    <row r="54" spans="1:6" x14ac:dyDescent="0.3">
      <c r="A54" t="s">
        <v>131</v>
      </c>
      <c r="B54">
        <f t="shared" si="1"/>
        <v>80</v>
      </c>
      <c r="C54">
        <f t="shared" si="2"/>
        <v>8.6500000000000465E-4</v>
      </c>
      <c r="D54">
        <v>2.1629999999999998</v>
      </c>
      <c r="E54" s="1">
        <f t="shared" si="3"/>
        <v>0.45416666666666672</v>
      </c>
      <c r="F54" s="3">
        <v>46175</v>
      </c>
    </row>
    <row r="55" spans="1:6" x14ac:dyDescent="0.3">
      <c r="A55" t="s">
        <v>132</v>
      </c>
      <c r="B55">
        <f t="shared" si="1"/>
        <v>80</v>
      </c>
      <c r="C55">
        <f t="shared" si="2"/>
        <v>7.7500000000000344E-4</v>
      </c>
      <c r="D55">
        <v>1.3895999999999999</v>
      </c>
      <c r="E55" s="1">
        <f t="shared" si="3"/>
        <v>0.45486111111111116</v>
      </c>
      <c r="F55" s="3">
        <v>46175</v>
      </c>
    </row>
    <row r="56" spans="1:6" x14ac:dyDescent="0.3">
      <c r="A56" t="s">
        <v>125</v>
      </c>
      <c r="B56">
        <f t="shared" si="1"/>
        <v>100</v>
      </c>
      <c r="C56">
        <f t="shared" si="2"/>
        <v>1.2399999999999967E-3</v>
      </c>
      <c r="D56">
        <v>1.7658</v>
      </c>
      <c r="E56" s="1">
        <f t="shared" si="3"/>
        <v>0.46180555555555564</v>
      </c>
      <c r="F56" s="3">
        <v>46175</v>
      </c>
    </row>
    <row r="57" spans="1:6" x14ac:dyDescent="0.3">
      <c r="A57" t="s">
        <v>126</v>
      </c>
      <c r="B57">
        <f t="shared" si="1"/>
        <v>100</v>
      </c>
      <c r="C57">
        <f t="shared" si="2"/>
        <v>2.30999999999999E-3</v>
      </c>
      <c r="D57">
        <v>3.4592000000000001</v>
      </c>
      <c r="E57" s="1">
        <f t="shared" si="3"/>
        <v>0.46319444444444452</v>
      </c>
      <c r="F57" s="3">
        <v>46175</v>
      </c>
    </row>
    <row r="58" spans="1:6" x14ac:dyDescent="0.3">
      <c r="A58" t="s">
        <v>127</v>
      </c>
      <c r="B58">
        <f t="shared" si="1"/>
        <v>100</v>
      </c>
      <c r="C58">
        <f t="shared" si="2"/>
        <v>1.5900000000000024E-3</v>
      </c>
      <c r="D58">
        <v>3.0556999999999999</v>
      </c>
      <c r="E58" s="1">
        <f t="shared" si="3"/>
        <v>0.46388888888888896</v>
      </c>
      <c r="F58" s="3">
        <v>46175</v>
      </c>
    </row>
    <row r="59" spans="1:6" x14ac:dyDescent="0.3">
      <c r="A59" t="s">
        <v>128</v>
      </c>
      <c r="B59">
        <f t="shared" si="1"/>
        <v>100</v>
      </c>
      <c r="C59">
        <f t="shared" si="2"/>
        <v>1.4699999999999934E-3</v>
      </c>
      <c r="D59">
        <v>3.4802</v>
      </c>
      <c r="E59" s="1">
        <f t="shared" si="3"/>
        <v>0.46527777777777785</v>
      </c>
      <c r="F59" s="3">
        <v>46175</v>
      </c>
    </row>
    <row r="60" spans="1:6" x14ac:dyDescent="0.3">
      <c r="A60" t="s">
        <v>129</v>
      </c>
      <c r="B60">
        <f t="shared" si="1"/>
        <v>100</v>
      </c>
      <c r="C60">
        <f t="shared" si="2"/>
        <v>7.2499999999999789E-4</v>
      </c>
      <c r="D60">
        <v>3.0527000000000002</v>
      </c>
      <c r="E60" s="1">
        <f t="shared" si="3"/>
        <v>0.46597222222222229</v>
      </c>
      <c r="F60" s="3">
        <v>46175</v>
      </c>
    </row>
    <row r="61" spans="1:6" x14ac:dyDescent="0.3">
      <c r="A61" t="s">
        <v>130</v>
      </c>
      <c r="B61">
        <f t="shared" si="1"/>
        <v>100</v>
      </c>
      <c r="C61">
        <f t="shared" si="2"/>
        <v>1.6100000000000003E-3</v>
      </c>
      <c r="D61">
        <v>2.2059000000000002</v>
      </c>
      <c r="E61" s="1">
        <f t="shared" si="3"/>
        <v>0.46666666666666673</v>
      </c>
      <c r="F61" s="3">
        <v>46175</v>
      </c>
    </row>
    <row r="62" spans="1:6" x14ac:dyDescent="0.3">
      <c r="A62" t="s">
        <v>102</v>
      </c>
      <c r="B62">
        <f t="shared" si="1"/>
        <v>100</v>
      </c>
      <c r="C62">
        <f t="shared" si="2"/>
        <v>8.8499999999999137E-4</v>
      </c>
      <c r="D62">
        <v>1.1523000000000001</v>
      </c>
      <c r="E62" s="1">
        <f t="shared" si="3"/>
        <v>0.46736111111111117</v>
      </c>
      <c r="F62" s="3">
        <v>46175</v>
      </c>
    </row>
    <row r="63" spans="1:6" x14ac:dyDescent="0.3">
      <c r="A63" t="s">
        <v>131</v>
      </c>
      <c r="B63">
        <f t="shared" si="1"/>
        <v>100</v>
      </c>
      <c r="C63">
        <f t="shared" si="2"/>
        <v>9.549999999999947E-4</v>
      </c>
      <c r="D63">
        <v>2.1438999999999999</v>
      </c>
      <c r="E63" s="1">
        <f t="shared" si="3"/>
        <v>0.46805555555555561</v>
      </c>
      <c r="F63" s="3">
        <v>46175</v>
      </c>
    </row>
    <row r="64" spans="1:6" x14ac:dyDescent="0.3">
      <c r="A64" t="s">
        <v>132</v>
      </c>
      <c r="B64">
        <f t="shared" si="1"/>
        <v>100</v>
      </c>
      <c r="C64">
        <f t="shared" si="2"/>
        <v>8.149999999999991E-4</v>
      </c>
      <c r="D64">
        <v>1.3733</v>
      </c>
      <c r="E64" s="1">
        <f t="shared" si="3"/>
        <v>0.46875000000000006</v>
      </c>
      <c r="F64" s="3">
        <v>46175</v>
      </c>
    </row>
    <row r="65" spans="1:6" x14ac:dyDescent="0.3">
      <c r="A65" t="s">
        <v>125</v>
      </c>
      <c r="B65">
        <f t="shared" si="1"/>
        <v>120</v>
      </c>
      <c r="C65">
        <f t="shared" si="2"/>
        <v>1.3299999999999979E-3</v>
      </c>
      <c r="D65">
        <v>1.7392000000000001</v>
      </c>
      <c r="E65" s="1">
        <f t="shared" si="3"/>
        <v>0.47569444444444453</v>
      </c>
      <c r="F65" s="3">
        <v>46175</v>
      </c>
    </row>
    <row r="66" spans="1:6" x14ac:dyDescent="0.3">
      <c r="A66" t="s">
        <v>126</v>
      </c>
      <c r="B66">
        <f t="shared" si="1"/>
        <v>120</v>
      </c>
      <c r="C66">
        <f t="shared" si="2"/>
        <v>1.6950000000000021E-3</v>
      </c>
      <c r="D66">
        <v>3.4253</v>
      </c>
      <c r="E66" s="1">
        <f t="shared" si="3"/>
        <v>0.47708333333333341</v>
      </c>
      <c r="F66" s="3">
        <v>46175</v>
      </c>
    </row>
    <row r="67" spans="1:6" x14ac:dyDescent="0.3">
      <c r="A67" t="s">
        <v>127</v>
      </c>
      <c r="B67">
        <f t="shared" si="1"/>
        <v>120</v>
      </c>
      <c r="C67">
        <f t="shared" si="2"/>
        <v>2.2699999999999942E-3</v>
      </c>
      <c r="D67">
        <v>3.0103</v>
      </c>
      <c r="E67" s="1">
        <f t="shared" si="3"/>
        <v>0.47777777777777786</v>
      </c>
      <c r="F67" s="3">
        <v>46175</v>
      </c>
    </row>
    <row r="68" spans="1:6" x14ac:dyDescent="0.3">
      <c r="A68" t="s">
        <v>128</v>
      </c>
      <c r="B68">
        <f t="shared" si="1"/>
        <v>120</v>
      </c>
      <c r="C68">
        <f t="shared" si="2"/>
        <v>4.8999999999999044E-4</v>
      </c>
      <c r="D68">
        <v>3.4704000000000002</v>
      </c>
      <c r="E68" s="1">
        <f t="shared" si="3"/>
        <v>0.47916666666666674</v>
      </c>
      <c r="F68" s="3">
        <v>46175</v>
      </c>
    </row>
    <row r="69" spans="1:6" x14ac:dyDescent="0.3">
      <c r="A69" t="s">
        <v>129</v>
      </c>
      <c r="B69">
        <f t="shared" si="1"/>
        <v>120</v>
      </c>
      <c r="C69">
        <f t="shared" si="2"/>
        <v>6.9000000000001287E-4</v>
      </c>
      <c r="D69">
        <v>3.0388999999999999</v>
      </c>
      <c r="E69" s="1">
        <f t="shared" si="3"/>
        <v>0.47986111111111118</v>
      </c>
      <c r="F69" s="3">
        <v>46175</v>
      </c>
    </row>
    <row r="70" spans="1:6" x14ac:dyDescent="0.3">
      <c r="A70" t="s">
        <v>130</v>
      </c>
      <c r="B70">
        <f t="shared" si="1"/>
        <v>120</v>
      </c>
      <c r="C70">
        <f t="shared" si="2"/>
        <v>1.0700000000000154E-3</v>
      </c>
      <c r="D70">
        <v>2.1844999999999999</v>
      </c>
      <c r="E70" s="1">
        <f t="shared" si="3"/>
        <v>0.48055555555555562</v>
      </c>
      <c r="F70" s="3">
        <v>46175</v>
      </c>
    </row>
    <row r="71" spans="1:6" x14ac:dyDescent="0.3">
      <c r="A71" t="s">
        <v>102</v>
      </c>
      <c r="B71">
        <f t="shared" si="1"/>
        <v>120</v>
      </c>
      <c r="C71">
        <f t="shared" si="2"/>
        <v>8.8500000000000243E-4</v>
      </c>
      <c r="D71">
        <v>1.1346000000000001</v>
      </c>
      <c r="E71" s="1">
        <f t="shared" si="3"/>
        <v>0.48125000000000007</v>
      </c>
      <c r="F71" s="3">
        <v>46175</v>
      </c>
    </row>
    <row r="72" spans="1:6" x14ac:dyDescent="0.3">
      <c r="A72" t="s">
        <v>131</v>
      </c>
      <c r="B72">
        <f t="shared" si="1"/>
        <v>120</v>
      </c>
      <c r="C72">
        <f t="shared" si="2"/>
        <v>8.5999999999999412E-4</v>
      </c>
      <c r="D72">
        <v>2.1267</v>
      </c>
      <c r="E72" s="1">
        <f t="shared" si="3"/>
        <v>0.48194444444444451</v>
      </c>
      <c r="F72" s="3">
        <v>46175</v>
      </c>
    </row>
    <row r="73" spans="1:6" x14ac:dyDescent="0.3">
      <c r="A73" t="s">
        <v>132</v>
      </c>
      <c r="B73">
        <f t="shared" si="1"/>
        <v>120</v>
      </c>
      <c r="C73">
        <f t="shared" si="2"/>
        <v>8.0000000000000069E-4</v>
      </c>
      <c r="D73">
        <v>1.3573</v>
      </c>
      <c r="E73" s="1">
        <f t="shared" si="3"/>
        <v>0.48263888888888895</v>
      </c>
      <c r="F73" s="3">
        <v>46175</v>
      </c>
    </row>
    <row r="74" spans="1:6" s="6" customFormat="1" x14ac:dyDescent="0.3">
      <c r="A74" s="6" t="s">
        <v>125</v>
      </c>
      <c r="B74" s="6">
        <f t="shared" si="1"/>
        <v>140</v>
      </c>
      <c r="C74" s="6">
        <f t="shared" si="2"/>
        <v>1.3400000000000079E-3</v>
      </c>
      <c r="D74" s="6">
        <v>1.7123999999999999</v>
      </c>
      <c r="E74" s="8">
        <f t="shared" si="3"/>
        <v>0.48958333333333343</v>
      </c>
      <c r="F74" s="11">
        <v>46175</v>
      </c>
    </row>
    <row r="75" spans="1:6" x14ac:dyDescent="0.3">
      <c r="A75" t="s">
        <v>126</v>
      </c>
      <c r="B75">
        <f t="shared" si="1"/>
        <v>140</v>
      </c>
      <c r="C75">
        <f t="shared" si="2"/>
        <v>1.4250000000000096E-3</v>
      </c>
      <c r="D75">
        <v>3.3967999999999998</v>
      </c>
      <c r="E75" s="1">
        <f t="shared" si="3"/>
        <v>0.49097222222222231</v>
      </c>
      <c r="F75" s="3">
        <v>46175</v>
      </c>
    </row>
    <row r="76" spans="1:6" x14ac:dyDescent="0.3">
      <c r="A76" t="s">
        <v>127</v>
      </c>
      <c r="B76">
        <f t="shared" si="1"/>
        <v>140</v>
      </c>
      <c r="C76">
        <f t="shared" si="2"/>
        <v>2.2350000000000091E-3</v>
      </c>
      <c r="D76">
        <v>2.9655999999999998</v>
      </c>
      <c r="E76" s="1">
        <f t="shared" si="3"/>
        <v>0.49166666666666675</v>
      </c>
      <c r="F76" s="3">
        <v>46175</v>
      </c>
    </row>
    <row r="77" spans="1:6" x14ac:dyDescent="0.3">
      <c r="A77" t="s">
        <v>128</v>
      </c>
      <c r="B77">
        <f t="shared" si="1"/>
        <v>140</v>
      </c>
      <c r="C77">
        <f t="shared" si="2"/>
        <v>9.6500000000001587E-4</v>
      </c>
      <c r="D77">
        <v>3.4510999999999998</v>
      </c>
      <c r="E77" s="1">
        <f t="shared" si="3"/>
        <v>0.49305555555555564</v>
      </c>
      <c r="F77" s="3">
        <v>46175</v>
      </c>
    </row>
    <row r="78" spans="1:6" x14ac:dyDescent="0.3">
      <c r="A78" t="s">
        <v>129</v>
      </c>
      <c r="B78">
        <f t="shared" si="1"/>
        <v>140</v>
      </c>
      <c r="C78">
        <f t="shared" si="2"/>
        <v>6.8500000000000223E-4</v>
      </c>
      <c r="D78">
        <v>3.0251999999999999</v>
      </c>
      <c r="E78" s="1">
        <f t="shared" si="3"/>
        <v>0.49375000000000008</v>
      </c>
      <c r="F78" s="3">
        <v>46175</v>
      </c>
    </row>
    <row r="79" spans="1:6" x14ac:dyDescent="0.3">
      <c r="A79" t="s">
        <v>130</v>
      </c>
      <c r="B79">
        <f t="shared" si="1"/>
        <v>140</v>
      </c>
      <c r="C79">
        <f t="shared" si="2"/>
        <v>7.6000000000000514E-4</v>
      </c>
      <c r="D79">
        <v>2.1692999999999998</v>
      </c>
      <c r="E79" s="1">
        <f t="shared" si="3"/>
        <v>0.49444444444444452</v>
      </c>
      <c r="F79" s="3">
        <v>46175</v>
      </c>
    </row>
    <row r="80" spans="1:6" x14ac:dyDescent="0.3">
      <c r="A80" t="s">
        <v>102</v>
      </c>
      <c r="B80">
        <f t="shared" si="1"/>
        <v>140</v>
      </c>
      <c r="C80">
        <f t="shared" si="2"/>
        <v>9.5500000000000587E-4</v>
      </c>
      <c r="D80">
        <v>1.1154999999999999</v>
      </c>
      <c r="E80" s="1">
        <f t="shared" si="3"/>
        <v>0.49513888888888896</v>
      </c>
      <c r="F80" s="3">
        <v>46175</v>
      </c>
    </row>
    <row r="81" spans="1:6" x14ac:dyDescent="0.3">
      <c r="A81" t="s">
        <v>131</v>
      </c>
      <c r="B81">
        <f t="shared" si="1"/>
        <v>140</v>
      </c>
      <c r="C81">
        <f t="shared" si="2"/>
        <v>9.7000000000000417E-4</v>
      </c>
      <c r="D81">
        <v>2.1073</v>
      </c>
      <c r="E81" s="1">
        <f t="shared" si="3"/>
        <v>0.4958333333333334</v>
      </c>
      <c r="F81" s="3">
        <v>46175</v>
      </c>
    </row>
    <row r="82" spans="1:6" x14ac:dyDescent="0.3">
      <c r="A82" t="s">
        <v>132</v>
      </c>
      <c r="B82">
        <f t="shared" si="1"/>
        <v>140</v>
      </c>
      <c r="C82">
        <f t="shared" si="2"/>
        <v>8.0999999999999963E-4</v>
      </c>
      <c r="D82">
        <v>1.3411</v>
      </c>
      <c r="E82" s="1">
        <f t="shared" si="3"/>
        <v>0.49652777777777785</v>
      </c>
      <c r="F82" s="3">
        <v>46175</v>
      </c>
    </row>
    <row r="83" spans="1:6" s="6" customFormat="1" x14ac:dyDescent="0.3">
      <c r="A83" s="6" t="s">
        <v>125</v>
      </c>
      <c r="B83" s="6">
        <f t="shared" si="1"/>
        <v>160</v>
      </c>
      <c r="C83" s="6">
        <f t="shared" si="2"/>
        <v>1.2050000000000006E-3</v>
      </c>
      <c r="D83" s="6">
        <v>1.6882999999999999</v>
      </c>
      <c r="E83" s="8">
        <f t="shared" si="3"/>
        <v>0.50347222222222232</v>
      </c>
      <c r="F83" s="11">
        <v>46175</v>
      </c>
    </row>
    <row r="84" spans="1:6" x14ac:dyDescent="0.3">
      <c r="A84" t="s">
        <v>126</v>
      </c>
      <c r="B84">
        <f t="shared" si="1"/>
        <v>160</v>
      </c>
      <c r="C84">
        <f t="shared" si="2"/>
        <v>1.5499999999999848E-3</v>
      </c>
      <c r="D84">
        <v>3.3658000000000001</v>
      </c>
      <c r="E84" s="1">
        <f t="shared" si="3"/>
        <v>0.5048611111111112</v>
      </c>
      <c r="F84" s="3">
        <v>46175</v>
      </c>
    </row>
    <row r="85" spans="1:6" x14ac:dyDescent="0.3">
      <c r="A85" t="s">
        <v>127</v>
      </c>
      <c r="B85">
        <f t="shared" ref="B85:B146" si="4">B76+20</f>
        <v>160</v>
      </c>
      <c r="C85">
        <f t="shared" ref="C85:C146" si="5">(D76-D85)/20</f>
        <v>1.1299999999999865E-3</v>
      </c>
      <c r="D85">
        <v>2.9430000000000001</v>
      </c>
      <c r="E85" s="1">
        <f t="shared" ref="E85:E146" si="6">E76+20/1440</f>
        <v>0.50555555555555565</v>
      </c>
      <c r="F85" s="3">
        <v>46175</v>
      </c>
    </row>
    <row r="86" spans="1:6" x14ac:dyDescent="0.3">
      <c r="A86" t="s">
        <v>128</v>
      </c>
      <c r="B86">
        <f t="shared" si="4"/>
        <v>160</v>
      </c>
      <c r="C86">
        <f t="shared" si="5"/>
        <v>9.7999999999998089E-4</v>
      </c>
      <c r="D86">
        <v>3.4315000000000002</v>
      </c>
      <c r="E86" s="1">
        <f t="shared" si="6"/>
        <v>0.50694444444444453</v>
      </c>
      <c r="F86" s="3">
        <v>46175</v>
      </c>
    </row>
    <row r="87" spans="1:6" x14ac:dyDescent="0.3">
      <c r="A87" t="s">
        <v>129</v>
      </c>
      <c r="B87">
        <f t="shared" si="4"/>
        <v>160</v>
      </c>
      <c r="C87">
        <f t="shared" si="5"/>
        <v>7.7499999999999238E-4</v>
      </c>
      <c r="D87">
        <v>3.0097</v>
      </c>
      <c r="E87" s="1">
        <f t="shared" si="6"/>
        <v>0.50763888888888897</v>
      </c>
      <c r="F87" s="3">
        <v>46175</v>
      </c>
    </row>
    <row r="88" spans="1:6" x14ac:dyDescent="0.3">
      <c r="A88" t="s">
        <v>130</v>
      </c>
      <c r="B88">
        <f t="shared" si="4"/>
        <v>160</v>
      </c>
      <c r="C88">
        <f t="shared" si="5"/>
        <v>6.8999999999999064E-4</v>
      </c>
      <c r="D88">
        <v>2.1555</v>
      </c>
      <c r="E88" s="1">
        <f t="shared" si="6"/>
        <v>0.50833333333333341</v>
      </c>
      <c r="F88" s="3">
        <v>46175</v>
      </c>
    </row>
    <row r="89" spans="1:6" x14ac:dyDescent="0.3">
      <c r="A89" t="s">
        <v>102</v>
      </c>
      <c r="B89">
        <f t="shared" si="4"/>
        <v>160</v>
      </c>
      <c r="C89">
        <f t="shared" si="5"/>
        <v>9.1999999999999862E-4</v>
      </c>
      <c r="D89">
        <v>1.0971</v>
      </c>
      <c r="E89" s="1">
        <f t="shared" si="6"/>
        <v>0.50902777777777786</v>
      </c>
      <c r="F89" s="3">
        <v>46175</v>
      </c>
    </row>
    <row r="90" spans="1:6" x14ac:dyDescent="0.3">
      <c r="A90" t="s">
        <v>131</v>
      </c>
      <c r="B90">
        <f t="shared" si="4"/>
        <v>160</v>
      </c>
      <c r="C90">
        <f t="shared" si="5"/>
        <v>7.2499999999999789E-4</v>
      </c>
      <c r="D90">
        <v>2.0928</v>
      </c>
      <c r="E90" s="1">
        <f t="shared" si="6"/>
        <v>0.5097222222222223</v>
      </c>
      <c r="F90" s="3">
        <v>46175</v>
      </c>
    </row>
    <row r="91" spans="1:6" x14ac:dyDescent="0.3">
      <c r="A91" t="s">
        <v>132</v>
      </c>
      <c r="B91">
        <f t="shared" si="4"/>
        <v>160</v>
      </c>
      <c r="C91">
        <f t="shared" si="5"/>
        <v>7.8500000000000238E-4</v>
      </c>
      <c r="D91">
        <v>1.3253999999999999</v>
      </c>
      <c r="E91" s="1">
        <f t="shared" si="6"/>
        <v>0.51041666666666674</v>
      </c>
      <c r="F91" s="3">
        <v>46175</v>
      </c>
    </row>
    <row r="92" spans="1:6" x14ac:dyDescent="0.3">
      <c r="A92" s="6" t="s">
        <v>125</v>
      </c>
      <c r="B92">
        <f t="shared" si="4"/>
        <v>180</v>
      </c>
      <c r="C92">
        <f t="shared" si="5"/>
        <v>1.2349999999999972E-3</v>
      </c>
      <c r="D92">
        <v>1.6636</v>
      </c>
      <c r="E92" s="1">
        <f t="shared" si="6"/>
        <v>0.51736111111111116</v>
      </c>
      <c r="F92" s="3">
        <v>46175</v>
      </c>
    </row>
    <row r="93" spans="1:6" x14ac:dyDescent="0.3">
      <c r="A93" t="s">
        <v>126</v>
      </c>
      <c r="B93">
        <f t="shared" si="4"/>
        <v>180</v>
      </c>
      <c r="C93">
        <f t="shared" si="5"/>
        <v>1.495000000000002E-3</v>
      </c>
      <c r="D93">
        <v>3.3359000000000001</v>
      </c>
      <c r="E93" s="1">
        <f t="shared" si="6"/>
        <v>0.51875000000000004</v>
      </c>
      <c r="F93" s="3">
        <v>46175</v>
      </c>
    </row>
    <row r="94" spans="1:6" x14ac:dyDescent="0.3">
      <c r="A94" t="s">
        <v>127</v>
      </c>
      <c r="B94">
        <f t="shared" si="4"/>
        <v>180</v>
      </c>
      <c r="C94">
        <f t="shared" si="5"/>
        <v>9.80000000000003E-4</v>
      </c>
      <c r="D94">
        <v>2.9234</v>
      </c>
      <c r="E94" s="1">
        <f t="shared" si="6"/>
        <v>0.51944444444444449</v>
      </c>
      <c r="F94" s="3">
        <v>46175</v>
      </c>
    </row>
    <row r="95" spans="1:6" x14ac:dyDescent="0.3">
      <c r="A95" t="s">
        <v>128</v>
      </c>
      <c r="B95">
        <f t="shared" si="4"/>
        <v>180</v>
      </c>
      <c r="C95">
        <f t="shared" si="5"/>
        <v>1.055000000000006E-3</v>
      </c>
      <c r="D95">
        <v>3.4104000000000001</v>
      </c>
      <c r="E95" s="1">
        <f t="shared" si="6"/>
        <v>0.52083333333333337</v>
      </c>
      <c r="F95" s="3">
        <v>46175</v>
      </c>
    </row>
    <row r="96" spans="1:6" x14ac:dyDescent="0.3">
      <c r="A96" t="s">
        <v>129</v>
      </c>
      <c r="B96">
        <f t="shared" si="4"/>
        <v>180</v>
      </c>
      <c r="C96">
        <f t="shared" si="5"/>
        <v>7.6000000000000514E-4</v>
      </c>
      <c r="D96">
        <v>2.9944999999999999</v>
      </c>
      <c r="E96" s="1">
        <f t="shared" si="6"/>
        <v>0.52152777777777781</v>
      </c>
      <c r="F96" s="3">
        <v>46175</v>
      </c>
    </row>
    <row r="97" spans="1:6" x14ac:dyDescent="0.3">
      <c r="A97" t="s">
        <v>130</v>
      </c>
      <c r="B97">
        <f t="shared" si="4"/>
        <v>180</v>
      </c>
      <c r="C97">
        <f t="shared" si="5"/>
        <v>6.5999999999999392E-4</v>
      </c>
      <c r="D97">
        <v>2.1423000000000001</v>
      </c>
      <c r="E97" s="1">
        <f t="shared" si="6"/>
        <v>0.52222222222222225</v>
      </c>
      <c r="F97" s="3">
        <v>46175</v>
      </c>
    </row>
    <row r="98" spans="1:6" x14ac:dyDescent="0.3">
      <c r="A98" t="s">
        <v>102</v>
      </c>
      <c r="B98">
        <f t="shared" si="4"/>
        <v>180</v>
      </c>
      <c r="C98">
        <f t="shared" si="5"/>
        <v>9.1499999999999915E-4</v>
      </c>
      <c r="D98">
        <v>1.0788</v>
      </c>
      <c r="E98" s="1">
        <f t="shared" si="6"/>
        <v>0.5229166666666667</v>
      </c>
      <c r="F98" s="3">
        <v>46175</v>
      </c>
    </row>
    <row r="99" spans="1:6" x14ac:dyDescent="0.3">
      <c r="A99" t="s">
        <v>131</v>
      </c>
      <c r="B99">
        <f t="shared" si="4"/>
        <v>180</v>
      </c>
      <c r="C99">
        <f t="shared" si="5"/>
        <v>8.3500000000000794E-4</v>
      </c>
      <c r="D99">
        <v>2.0760999999999998</v>
      </c>
      <c r="E99" s="1">
        <f t="shared" si="6"/>
        <v>0.52361111111111114</v>
      </c>
      <c r="F99" s="3">
        <v>46175</v>
      </c>
    </row>
    <row r="100" spans="1:6" x14ac:dyDescent="0.3">
      <c r="A100" t="s">
        <v>132</v>
      </c>
      <c r="B100">
        <f t="shared" si="4"/>
        <v>180</v>
      </c>
      <c r="C100">
        <f t="shared" si="5"/>
        <v>8.649999999999936E-4</v>
      </c>
      <c r="D100">
        <v>1.3081</v>
      </c>
      <c r="E100" s="1">
        <f t="shared" si="6"/>
        <v>0.52430555555555558</v>
      </c>
      <c r="F100" s="3">
        <v>46175</v>
      </c>
    </row>
    <row r="101" spans="1:6" x14ac:dyDescent="0.3">
      <c r="A101" s="6" t="s">
        <v>125</v>
      </c>
      <c r="B101">
        <f t="shared" si="4"/>
        <v>200</v>
      </c>
      <c r="C101">
        <f t="shared" si="5"/>
        <v>1.2050000000000006E-3</v>
      </c>
      <c r="D101">
        <v>1.6395</v>
      </c>
      <c r="E101" s="1">
        <f t="shared" si="6"/>
        <v>0.53125</v>
      </c>
      <c r="F101" s="3">
        <v>46175</v>
      </c>
    </row>
    <row r="102" spans="1:6" x14ac:dyDescent="0.3">
      <c r="A102" t="s">
        <v>126</v>
      </c>
      <c r="B102">
        <f t="shared" si="4"/>
        <v>200</v>
      </c>
      <c r="C102">
        <f t="shared" si="5"/>
        <v>1.4699999999999934E-3</v>
      </c>
      <c r="D102">
        <v>3.3065000000000002</v>
      </c>
      <c r="E102" s="1">
        <f t="shared" si="6"/>
        <v>0.53263888888888888</v>
      </c>
      <c r="F102" s="3">
        <v>46175</v>
      </c>
    </row>
    <row r="103" spans="1:6" x14ac:dyDescent="0.3">
      <c r="A103" t="s">
        <v>127</v>
      </c>
      <c r="B103">
        <f t="shared" si="4"/>
        <v>200</v>
      </c>
      <c r="C103">
        <f t="shared" si="5"/>
        <v>1.0049999999999892E-3</v>
      </c>
      <c r="D103">
        <v>2.9033000000000002</v>
      </c>
      <c r="E103" s="1">
        <f t="shared" si="6"/>
        <v>0.53333333333333333</v>
      </c>
      <c r="F103" s="3">
        <v>46175</v>
      </c>
    </row>
    <row r="104" spans="1:6" x14ac:dyDescent="0.3">
      <c r="A104" t="s">
        <v>128</v>
      </c>
      <c r="B104">
        <f t="shared" si="4"/>
        <v>200</v>
      </c>
      <c r="C104">
        <f t="shared" si="5"/>
        <v>1.0150000000000103E-3</v>
      </c>
      <c r="D104">
        <v>3.3900999999999999</v>
      </c>
      <c r="E104" s="1">
        <f t="shared" si="6"/>
        <v>0.53472222222222221</v>
      </c>
      <c r="F104" s="3">
        <v>46175</v>
      </c>
    </row>
    <row r="105" spans="1:6" x14ac:dyDescent="0.3">
      <c r="A105" t="s">
        <v>129</v>
      </c>
      <c r="B105">
        <f t="shared" si="4"/>
        <v>200</v>
      </c>
      <c r="C105">
        <f t="shared" si="5"/>
        <v>7.7000000000000397E-4</v>
      </c>
      <c r="D105">
        <v>2.9790999999999999</v>
      </c>
      <c r="E105" s="1">
        <f t="shared" si="6"/>
        <v>0.53541666666666665</v>
      </c>
      <c r="F105" s="3">
        <v>46175</v>
      </c>
    </row>
    <row r="106" spans="1:6" x14ac:dyDescent="0.3">
      <c r="A106" t="s">
        <v>130</v>
      </c>
      <c r="B106">
        <f t="shared" si="4"/>
        <v>200</v>
      </c>
      <c r="C106">
        <f t="shared" si="5"/>
        <v>6.9500000000000117E-4</v>
      </c>
      <c r="D106">
        <v>2.1284000000000001</v>
      </c>
      <c r="E106" s="1">
        <f t="shared" si="6"/>
        <v>0.53611111111111109</v>
      </c>
      <c r="F106" s="3">
        <v>46175</v>
      </c>
    </row>
    <row r="107" spans="1:6" x14ac:dyDescent="0.3">
      <c r="A107" t="s">
        <v>102</v>
      </c>
      <c r="B107">
        <f t="shared" si="4"/>
        <v>200</v>
      </c>
      <c r="C107">
        <f t="shared" si="5"/>
        <v>9.4999999999999534E-4</v>
      </c>
      <c r="D107">
        <v>1.0598000000000001</v>
      </c>
      <c r="E107" s="1">
        <f t="shared" si="6"/>
        <v>0.53680555555555554</v>
      </c>
      <c r="F107" s="3">
        <v>46175</v>
      </c>
    </row>
    <row r="108" spans="1:6" x14ac:dyDescent="0.3">
      <c r="A108" t="s">
        <v>131</v>
      </c>
      <c r="B108">
        <f t="shared" si="4"/>
        <v>200</v>
      </c>
      <c r="C108">
        <f t="shared" si="5"/>
        <v>8.1499999999998793E-4</v>
      </c>
      <c r="D108">
        <v>2.0598000000000001</v>
      </c>
      <c r="E108" s="1">
        <f t="shared" si="6"/>
        <v>0.53749999999999998</v>
      </c>
      <c r="F108" s="3">
        <v>46175</v>
      </c>
    </row>
    <row r="109" spans="1:6" x14ac:dyDescent="0.3">
      <c r="A109" t="s">
        <v>132</v>
      </c>
      <c r="B109">
        <f t="shared" si="4"/>
        <v>200</v>
      </c>
      <c r="C109">
        <f t="shared" si="5"/>
        <v>8.4000000000000741E-4</v>
      </c>
      <c r="D109">
        <v>1.2912999999999999</v>
      </c>
      <c r="E109" s="1">
        <f t="shared" si="6"/>
        <v>0.53819444444444442</v>
      </c>
      <c r="F109" s="3">
        <v>46175</v>
      </c>
    </row>
    <row r="110" spans="1:6" x14ac:dyDescent="0.3">
      <c r="A110" s="6" t="s">
        <v>125</v>
      </c>
      <c r="B110">
        <f t="shared" si="4"/>
        <v>220</v>
      </c>
      <c r="C110">
        <f t="shared" si="5"/>
        <v>1.2050000000000006E-3</v>
      </c>
      <c r="D110">
        <v>1.6153999999999999</v>
      </c>
      <c r="E110" s="1">
        <f t="shared" si="6"/>
        <v>0.54513888888888884</v>
      </c>
      <c r="F110" s="3">
        <v>46175</v>
      </c>
    </row>
    <row r="111" spans="1:6" x14ac:dyDescent="0.3">
      <c r="A111" t="s">
        <v>126</v>
      </c>
      <c r="B111">
        <f t="shared" si="4"/>
        <v>220</v>
      </c>
      <c r="C111">
        <f t="shared" si="5"/>
        <v>1.4700000000000158E-3</v>
      </c>
      <c r="D111">
        <v>3.2770999999999999</v>
      </c>
      <c r="E111" s="1">
        <f t="shared" si="6"/>
        <v>0.54652777777777772</v>
      </c>
      <c r="F111" s="3">
        <v>46175</v>
      </c>
    </row>
    <row r="112" spans="1:6" x14ac:dyDescent="0.3">
      <c r="A112" t="s">
        <v>127</v>
      </c>
      <c r="B112">
        <f t="shared" si="4"/>
        <v>220</v>
      </c>
      <c r="C112">
        <f t="shared" si="5"/>
        <v>1.0099999999999998E-3</v>
      </c>
      <c r="D112">
        <v>2.8831000000000002</v>
      </c>
      <c r="E112" s="1">
        <f t="shared" si="6"/>
        <v>0.54722222222222217</v>
      </c>
      <c r="F112" s="3">
        <v>46175</v>
      </c>
    </row>
    <row r="113" spans="1:6" x14ac:dyDescent="0.3">
      <c r="A113" t="s">
        <v>128</v>
      </c>
      <c r="B113">
        <f t="shared" si="4"/>
        <v>220</v>
      </c>
      <c r="C113">
        <f t="shared" si="5"/>
        <v>1.0000000000000009E-3</v>
      </c>
      <c r="D113">
        <v>3.3700999999999999</v>
      </c>
      <c r="E113" s="1">
        <f t="shared" si="6"/>
        <v>0.54861111111111105</v>
      </c>
      <c r="F113" s="3">
        <v>46175</v>
      </c>
    </row>
    <row r="114" spans="1:6" x14ac:dyDescent="0.3">
      <c r="A114" t="s">
        <v>129</v>
      </c>
      <c r="B114">
        <f t="shared" si="4"/>
        <v>220</v>
      </c>
      <c r="C114">
        <f t="shared" si="5"/>
        <v>7.5499999999999461E-4</v>
      </c>
      <c r="D114">
        <v>2.964</v>
      </c>
      <c r="E114" s="1">
        <f t="shared" si="6"/>
        <v>0.54930555555555549</v>
      </c>
      <c r="F114" s="3">
        <v>46175</v>
      </c>
    </row>
    <row r="115" spans="1:6" x14ac:dyDescent="0.3">
      <c r="A115" t="s">
        <v>130</v>
      </c>
      <c r="B115">
        <f t="shared" si="4"/>
        <v>220</v>
      </c>
      <c r="C115">
        <f t="shared" si="5"/>
        <v>7.1000000000001064E-4</v>
      </c>
      <c r="D115">
        <v>2.1141999999999999</v>
      </c>
      <c r="E115" s="1">
        <f t="shared" si="6"/>
        <v>0.54999999999999993</v>
      </c>
      <c r="F115" s="3">
        <v>46175</v>
      </c>
    </row>
    <row r="116" spans="1:6" x14ac:dyDescent="0.3">
      <c r="A116" t="s">
        <v>102</v>
      </c>
      <c r="B116">
        <f t="shared" si="4"/>
        <v>220</v>
      </c>
      <c r="C116">
        <f t="shared" si="5"/>
        <v>9.9500000000000153E-4</v>
      </c>
      <c r="D116">
        <v>1.0399</v>
      </c>
      <c r="E116" s="1">
        <f t="shared" si="6"/>
        <v>0.55069444444444438</v>
      </c>
      <c r="F116" s="3">
        <v>46175</v>
      </c>
    </row>
    <row r="117" spans="1:6" x14ac:dyDescent="0.3">
      <c r="A117" t="s">
        <v>131</v>
      </c>
      <c r="B117">
        <f t="shared" si="4"/>
        <v>220</v>
      </c>
      <c r="C117">
        <f t="shared" si="5"/>
        <v>8.0000000000000069E-4</v>
      </c>
      <c r="D117">
        <v>2.0438000000000001</v>
      </c>
      <c r="E117" s="1">
        <f t="shared" si="6"/>
        <v>0.55138888888888882</v>
      </c>
      <c r="F117" s="3">
        <v>46175</v>
      </c>
    </row>
    <row r="118" spans="1:6" x14ac:dyDescent="0.3">
      <c r="A118" t="s">
        <v>132</v>
      </c>
      <c r="B118">
        <f t="shared" si="4"/>
        <v>220</v>
      </c>
      <c r="C118">
        <f t="shared" si="5"/>
        <v>8.4499999999999571E-4</v>
      </c>
      <c r="D118">
        <v>1.2744</v>
      </c>
      <c r="E118" s="1">
        <f t="shared" si="6"/>
        <v>0.55208333333333326</v>
      </c>
      <c r="F118" s="3">
        <v>46175</v>
      </c>
    </row>
    <row r="119" spans="1:6" x14ac:dyDescent="0.3">
      <c r="A119" s="6" t="s">
        <v>125</v>
      </c>
      <c r="B119">
        <f t="shared" si="4"/>
        <v>240</v>
      </c>
      <c r="C119">
        <f t="shared" si="5"/>
        <v>1.2249999999999982E-3</v>
      </c>
      <c r="D119">
        <v>1.5909</v>
      </c>
      <c r="E119" s="1">
        <f t="shared" si="6"/>
        <v>0.55902777777777768</v>
      </c>
      <c r="F119" s="3">
        <v>46175</v>
      </c>
    </row>
    <row r="120" spans="1:6" x14ac:dyDescent="0.3">
      <c r="A120" t="s">
        <v>126</v>
      </c>
      <c r="B120">
        <f t="shared" si="4"/>
        <v>240</v>
      </c>
      <c r="C120">
        <f t="shared" si="5"/>
        <v>1.4750000000000041E-3</v>
      </c>
      <c r="D120">
        <v>3.2475999999999998</v>
      </c>
      <c r="E120" s="1">
        <f t="shared" si="6"/>
        <v>0.56041666666666656</v>
      </c>
      <c r="F120" s="3">
        <v>46175</v>
      </c>
    </row>
    <row r="121" spans="1:6" x14ac:dyDescent="0.3">
      <c r="A121" t="s">
        <v>127</v>
      </c>
      <c r="B121">
        <f t="shared" si="4"/>
        <v>240</v>
      </c>
      <c r="C121">
        <f t="shared" si="5"/>
        <v>9.4000000000000745E-4</v>
      </c>
      <c r="D121">
        <v>2.8643000000000001</v>
      </c>
      <c r="E121" s="1">
        <f t="shared" si="6"/>
        <v>0.56111111111111101</v>
      </c>
      <c r="F121" s="3">
        <v>46175</v>
      </c>
    </row>
    <row r="122" spans="1:6" x14ac:dyDescent="0.3">
      <c r="A122" t="s">
        <v>128</v>
      </c>
      <c r="B122">
        <f t="shared" si="4"/>
        <v>240</v>
      </c>
      <c r="C122">
        <f t="shared" si="5"/>
        <v>1.0399999999999964E-3</v>
      </c>
      <c r="D122">
        <v>3.3492999999999999</v>
      </c>
      <c r="E122" s="1">
        <f t="shared" si="6"/>
        <v>0.56249999999999989</v>
      </c>
      <c r="F122" s="3">
        <v>46175</v>
      </c>
    </row>
    <row r="123" spans="1:6" x14ac:dyDescent="0.3">
      <c r="A123" t="s">
        <v>129</v>
      </c>
      <c r="B123">
        <f t="shared" si="4"/>
        <v>240</v>
      </c>
      <c r="C123">
        <f t="shared" si="5"/>
        <v>6.750000000000034E-4</v>
      </c>
      <c r="D123">
        <v>2.9504999999999999</v>
      </c>
      <c r="E123" s="1">
        <f t="shared" si="6"/>
        <v>0.56319444444444433</v>
      </c>
      <c r="F123" s="3">
        <v>46175</v>
      </c>
    </row>
    <row r="124" spans="1:6" x14ac:dyDescent="0.3">
      <c r="A124" t="s">
        <v>130</v>
      </c>
      <c r="B124">
        <f t="shared" si="4"/>
        <v>240</v>
      </c>
      <c r="C124">
        <f t="shared" si="5"/>
        <v>6.2999999999999721E-4</v>
      </c>
      <c r="D124">
        <v>2.1015999999999999</v>
      </c>
      <c r="E124" s="1">
        <f t="shared" si="6"/>
        <v>0.56388888888888877</v>
      </c>
      <c r="F124" s="3">
        <v>46175</v>
      </c>
    </row>
    <row r="125" spans="1:6" x14ac:dyDescent="0.3">
      <c r="A125" t="s">
        <v>102</v>
      </c>
      <c r="B125">
        <f t="shared" si="4"/>
        <v>240</v>
      </c>
      <c r="C125">
        <f t="shared" si="5"/>
        <v>9.0000000000000084E-4</v>
      </c>
      <c r="D125">
        <v>1.0219</v>
      </c>
      <c r="E125" s="1">
        <f t="shared" si="6"/>
        <v>0.56458333333333321</v>
      </c>
      <c r="F125" s="3">
        <v>46175</v>
      </c>
    </row>
    <row r="126" spans="1:6" x14ac:dyDescent="0.3">
      <c r="A126" t="s">
        <v>131</v>
      </c>
      <c r="B126">
        <f t="shared" si="4"/>
        <v>240</v>
      </c>
      <c r="C126">
        <f t="shared" si="5"/>
        <v>7.2000000000000948E-4</v>
      </c>
      <c r="D126">
        <v>2.0293999999999999</v>
      </c>
      <c r="E126" s="1">
        <f t="shared" si="6"/>
        <v>0.56527777777777766</v>
      </c>
      <c r="F126" s="3">
        <v>46175</v>
      </c>
    </row>
    <row r="127" spans="1:6" x14ac:dyDescent="0.3">
      <c r="A127" t="s">
        <v>132</v>
      </c>
      <c r="B127">
        <f t="shared" si="4"/>
        <v>240</v>
      </c>
      <c r="C127">
        <f t="shared" si="5"/>
        <v>8.149999999999991E-4</v>
      </c>
      <c r="D127">
        <v>1.2581</v>
      </c>
      <c r="E127" s="1">
        <f t="shared" si="6"/>
        <v>0.5659722222222221</v>
      </c>
      <c r="F127" s="3">
        <v>46175</v>
      </c>
    </row>
    <row r="128" spans="1:6" x14ac:dyDescent="0.3">
      <c r="A128" s="6" t="s">
        <v>125</v>
      </c>
      <c r="B128">
        <f t="shared" si="4"/>
        <v>260</v>
      </c>
      <c r="C128">
        <f t="shared" si="5"/>
        <v>1.1750000000000037E-3</v>
      </c>
      <c r="D128">
        <v>1.5673999999999999</v>
      </c>
      <c r="E128" s="1">
        <f t="shared" si="6"/>
        <v>0.57291666666666652</v>
      </c>
      <c r="F128" s="3">
        <v>46175</v>
      </c>
    </row>
    <row r="129" spans="1:6" x14ac:dyDescent="0.3">
      <c r="A129" t="s">
        <v>126</v>
      </c>
      <c r="B129">
        <f t="shared" si="4"/>
        <v>260</v>
      </c>
      <c r="C129">
        <f t="shared" si="5"/>
        <v>1.4299999999999979E-3</v>
      </c>
      <c r="D129">
        <v>3.2189999999999999</v>
      </c>
      <c r="E129" s="1">
        <f t="shared" si="6"/>
        <v>0.5743055555555554</v>
      </c>
      <c r="F129" s="3">
        <v>46175</v>
      </c>
    </row>
    <row r="130" spans="1:6" x14ac:dyDescent="0.3">
      <c r="A130" t="s">
        <v>127</v>
      </c>
      <c r="B130">
        <f t="shared" si="4"/>
        <v>260</v>
      </c>
      <c r="C130">
        <f t="shared" si="5"/>
        <v>9.8500000000001364E-4</v>
      </c>
      <c r="D130">
        <v>2.8445999999999998</v>
      </c>
      <c r="E130" s="1">
        <f t="shared" si="6"/>
        <v>0.57499999999999984</v>
      </c>
      <c r="F130" s="3">
        <v>46175</v>
      </c>
    </row>
    <row r="131" spans="1:6" x14ac:dyDescent="0.3">
      <c r="A131" t="s">
        <v>128</v>
      </c>
      <c r="B131">
        <f t="shared" si="4"/>
        <v>260</v>
      </c>
      <c r="C131">
        <f t="shared" si="5"/>
        <v>9.7000000000000417E-4</v>
      </c>
      <c r="D131">
        <v>3.3298999999999999</v>
      </c>
      <c r="E131" s="1">
        <f t="shared" si="6"/>
        <v>0.57638888888888873</v>
      </c>
      <c r="F131" s="3">
        <v>46175</v>
      </c>
    </row>
    <row r="132" spans="1:6" x14ac:dyDescent="0.3">
      <c r="A132" t="s">
        <v>129</v>
      </c>
      <c r="B132">
        <f t="shared" si="4"/>
        <v>260</v>
      </c>
      <c r="C132">
        <f t="shared" si="5"/>
        <v>6.3999999999999615E-4</v>
      </c>
      <c r="D132">
        <v>2.9377</v>
      </c>
      <c r="E132" s="1">
        <f t="shared" si="6"/>
        <v>0.57708333333333317</v>
      </c>
      <c r="F132" s="3">
        <v>46175</v>
      </c>
    </row>
    <row r="133" spans="1:6" x14ac:dyDescent="0.3">
      <c r="A133" t="s">
        <v>130</v>
      </c>
      <c r="B133">
        <f t="shared" si="4"/>
        <v>260</v>
      </c>
      <c r="C133">
        <f t="shared" si="5"/>
        <v>6.2999999999999721E-4</v>
      </c>
      <c r="D133">
        <v>2.089</v>
      </c>
      <c r="E133" s="1">
        <f t="shared" si="6"/>
        <v>0.57777777777777761</v>
      </c>
      <c r="F133" s="3">
        <v>46175</v>
      </c>
    </row>
    <row r="134" spans="1:6" x14ac:dyDescent="0.3">
      <c r="A134" t="s">
        <v>102</v>
      </c>
      <c r="B134">
        <f t="shared" si="4"/>
        <v>260</v>
      </c>
      <c r="C134">
        <f t="shared" si="5"/>
        <v>9.0000000000000084E-4</v>
      </c>
      <c r="D134">
        <v>1.0039</v>
      </c>
      <c r="E134" s="1">
        <f t="shared" si="6"/>
        <v>0.57847222222222205</v>
      </c>
      <c r="F134" s="3">
        <v>46175</v>
      </c>
    </row>
    <row r="135" spans="1:6" x14ac:dyDescent="0.3">
      <c r="A135" t="s">
        <v>131</v>
      </c>
      <c r="B135">
        <f t="shared" si="4"/>
        <v>260</v>
      </c>
      <c r="C135">
        <f t="shared" si="5"/>
        <v>6.4999999999999498E-4</v>
      </c>
      <c r="D135">
        <v>2.0164</v>
      </c>
      <c r="E135" s="1">
        <f t="shared" si="6"/>
        <v>0.5791666666666665</v>
      </c>
      <c r="F135" s="3">
        <v>46175</v>
      </c>
    </row>
    <row r="136" spans="1:6" x14ac:dyDescent="0.3">
      <c r="A136" t="s">
        <v>132</v>
      </c>
      <c r="B136">
        <f t="shared" si="4"/>
        <v>260</v>
      </c>
      <c r="C136">
        <f t="shared" si="5"/>
        <v>8.0999999999999963E-4</v>
      </c>
      <c r="D136">
        <v>1.2419</v>
      </c>
      <c r="E136" s="1">
        <f t="shared" si="6"/>
        <v>0.57986111111111094</v>
      </c>
      <c r="F136" s="3">
        <v>46175</v>
      </c>
    </row>
    <row r="137" spans="1:6" x14ac:dyDescent="0.3">
      <c r="B137">
        <f t="shared" si="4"/>
        <v>280</v>
      </c>
      <c r="C137">
        <f t="shared" si="5"/>
        <v>7.8369999999999995E-2</v>
      </c>
      <c r="E137" s="1">
        <f t="shared" si="6"/>
        <v>0.58680555555555536</v>
      </c>
      <c r="F137" s="3">
        <v>46175</v>
      </c>
    </row>
    <row r="138" spans="1:6" x14ac:dyDescent="0.3">
      <c r="B138">
        <f t="shared" si="4"/>
        <v>280</v>
      </c>
      <c r="C138">
        <f t="shared" si="5"/>
        <v>0.16094999999999998</v>
      </c>
      <c r="E138" s="1">
        <f t="shared" si="6"/>
        <v>0.58819444444444424</v>
      </c>
      <c r="F138" s="3">
        <v>46175</v>
      </c>
    </row>
    <row r="139" spans="1:6" x14ac:dyDescent="0.3">
      <c r="B139">
        <f t="shared" si="4"/>
        <v>280</v>
      </c>
      <c r="C139">
        <f t="shared" si="5"/>
        <v>0.14223</v>
      </c>
      <c r="E139" s="1">
        <f t="shared" si="6"/>
        <v>0.58888888888888868</v>
      </c>
      <c r="F139" s="3">
        <v>46175</v>
      </c>
    </row>
    <row r="140" spans="1:6" x14ac:dyDescent="0.3">
      <c r="B140">
        <f t="shared" si="4"/>
        <v>280</v>
      </c>
      <c r="C140">
        <f t="shared" si="5"/>
        <v>0.166495</v>
      </c>
      <c r="E140" s="1">
        <f t="shared" si="6"/>
        <v>0.59027777777777757</v>
      </c>
      <c r="F140" s="3">
        <v>46175</v>
      </c>
    </row>
    <row r="141" spans="1:6" x14ac:dyDescent="0.3">
      <c r="B141">
        <f t="shared" si="4"/>
        <v>280</v>
      </c>
      <c r="C141">
        <f t="shared" si="5"/>
        <v>0.14688499999999999</v>
      </c>
      <c r="E141" s="1">
        <f t="shared" si="6"/>
        <v>0.59097222222222201</v>
      </c>
      <c r="F141" s="3">
        <v>46175</v>
      </c>
    </row>
    <row r="142" spans="1:6" x14ac:dyDescent="0.3">
      <c r="B142">
        <f t="shared" si="4"/>
        <v>280</v>
      </c>
      <c r="C142">
        <f t="shared" si="5"/>
        <v>0.10445</v>
      </c>
      <c r="E142" s="1">
        <f t="shared" si="6"/>
        <v>0.59166666666666645</v>
      </c>
      <c r="F142" s="3">
        <v>46175</v>
      </c>
    </row>
    <row r="143" spans="1:6" x14ac:dyDescent="0.3">
      <c r="B143">
        <f t="shared" si="4"/>
        <v>280</v>
      </c>
      <c r="C143">
        <f t="shared" si="5"/>
        <v>5.0195000000000004E-2</v>
      </c>
      <c r="E143" s="1">
        <f t="shared" si="6"/>
        <v>0.59236111111111089</v>
      </c>
      <c r="F143" s="3">
        <v>46175</v>
      </c>
    </row>
    <row r="144" spans="1:6" x14ac:dyDescent="0.3">
      <c r="B144">
        <f t="shared" si="4"/>
        <v>280</v>
      </c>
      <c r="C144">
        <f t="shared" si="5"/>
        <v>0.10081999999999999</v>
      </c>
      <c r="E144" s="1">
        <f t="shared" si="6"/>
        <v>0.59305555555555534</v>
      </c>
      <c r="F144" s="3">
        <v>46175</v>
      </c>
    </row>
    <row r="145" spans="2:6" x14ac:dyDescent="0.3">
      <c r="B145">
        <f t="shared" si="4"/>
        <v>280</v>
      </c>
      <c r="C145">
        <f t="shared" si="5"/>
        <v>6.2094999999999997E-2</v>
      </c>
      <c r="E145" s="1">
        <f t="shared" si="6"/>
        <v>0.59374999999999978</v>
      </c>
      <c r="F145" s="3">
        <v>46175</v>
      </c>
    </row>
    <row r="146" spans="2:6" x14ac:dyDescent="0.3">
      <c r="B146">
        <f t="shared" si="4"/>
        <v>300</v>
      </c>
      <c r="C146">
        <f t="shared" si="5"/>
        <v>0</v>
      </c>
      <c r="E146" s="1">
        <f t="shared" si="6"/>
        <v>0.6006944444444442</v>
      </c>
      <c r="F146" s="3">
        <v>46175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44C-6946-42D9-9291-B21306B78327}">
  <dimension ref="A1:E144"/>
  <sheetViews>
    <sheetView tabSelected="1" workbookViewId="0">
      <selection sqref="A1:C144"/>
    </sheetView>
  </sheetViews>
  <sheetFormatPr baseColWidth="10" defaultRowHeight="14.4" x14ac:dyDescent="0.3"/>
  <sheetData>
    <row r="1" spans="1:3" x14ac:dyDescent="0.3">
      <c r="A1" t="s">
        <v>0</v>
      </c>
      <c r="B1" t="s">
        <v>195</v>
      </c>
      <c r="C1" t="s">
        <v>194</v>
      </c>
    </row>
    <row r="2" spans="1:3" x14ac:dyDescent="0.3">
      <c r="A2" t="s">
        <v>100</v>
      </c>
      <c r="B2">
        <v>9.1199999999999992</v>
      </c>
      <c r="C2">
        <v>8.3000000000000007</v>
      </c>
    </row>
    <row r="3" spans="1:3" x14ac:dyDescent="0.3">
      <c r="A3" t="s">
        <v>101</v>
      </c>
      <c r="B3">
        <v>9.92</v>
      </c>
      <c r="C3">
        <v>9.51</v>
      </c>
    </row>
    <row r="4" spans="1:3" x14ac:dyDescent="0.3">
      <c r="A4" t="s">
        <v>101</v>
      </c>
      <c r="B4">
        <v>4.93</v>
      </c>
      <c r="C4">
        <v>4.9400000000000004</v>
      </c>
    </row>
    <row r="5" spans="1:3" x14ac:dyDescent="0.3">
      <c r="A5" t="s">
        <v>13</v>
      </c>
      <c r="B5">
        <v>15.2</v>
      </c>
      <c r="C5">
        <v>14.68</v>
      </c>
    </row>
    <row r="6" spans="1:3" x14ac:dyDescent="0.3">
      <c r="A6" t="s">
        <v>102</v>
      </c>
      <c r="B6">
        <v>9.2899999999999991</v>
      </c>
      <c r="C6">
        <v>9.67</v>
      </c>
    </row>
    <row r="7" spans="1:3" x14ac:dyDescent="0.3">
      <c r="A7" t="s">
        <v>102</v>
      </c>
      <c r="B7">
        <v>641</v>
      </c>
      <c r="C7">
        <v>6.17</v>
      </c>
    </row>
    <row r="8" spans="1:3" x14ac:dyDescent="0.3">
      <c r="A8" t="s">
        <v>103</v>
      </c>
      <c r="B8">
        <v>10.29</v>
      </c>
      <c r="C8">
        <v>10.119999999999999</v>
      </c>
    </row>
    <row r="9" spans="1:3" x14ac:dyDescent="0.3">
      <c r="A9" t="s">
        <v>103</v>
      </c>
      <c r="B9">
        <v>8.5299999999999994</v>
      </c>
      <c r="C9">
        <v>8.85</v>
      </c>
    </row>
    <row r="10" spans="1:3" x14ac:dyDescent="0.3">
      <c r="A10" t="s">
        <v>76</v>
      </c>
      <c r="B10">
        <v>6.12</v>
      </c>
      <c r="C10">
        <v>6.85</v>
      </c>
    </row>
    <row r="11" spans="1:3" x14ac:dyDescent="0.3">
      <c r="A11" t="s">
        <v>76</v>
      </c>
      <c r="B11">
        <v>4.54</v>
      </c>
      <c r="C11">
        <v>4.83</v>
      </c>
    </row>
    <row r="12" spans="1:3" x14ac:dyDescent="0.3">
      <c r="A12" t="s">
        <v>104</v>
      </c>
      <c r="B12">
        <v>12.61</v>
      </c>
      <c r="C12">
        <v>12.31</v>
      </c>
    </row>
    <row r="13" spans="1:3" x14ac:dyDescent="0.3">
      <c r="A13">
        <v>344</v>
      </c>
      <c r="B13">
        <v>7.95</v>
      </c>
      <c r="C13">
        <v>8.65</v>
      </c>
    </row>
    <row r="14" spans="1:3" x14ac:dyDescent="0.3">
      <c r="A14" t="s">
        <v>105</v>
      </c>
      <c r="B14">
        <v>14.51</v>
      </c>
      <c r="C14">
        <v>14.06</v>
      </c>
    </row>
    <row r="15" spans="1:3" x14ac:dyDescent="0.3">
      <c r="A15" t="s">
        <v>106</v>
      </c>
      <c r="B15">
        <v>11.74</v>
      </c>
      <c r="C15">
        <v>11.13</v>
      </c>
    </row>
    <row r="16" spans="1:3" x14ac:dyDescent="0.3">
      <c r="A16">
        <v>259</v>
      </c>
      <c r="B16">
        <v>9.69</v>
      </c>
      <c r="C16">
        <v>10.35</v>
      </c>
    </row>
    <row r="17" spans="1:3" x14ac:dyDescent="0.3">
      <c r="A17" t="s">
        <v>107</v>
      </c>
      <c r="B17">
        <v>10.42</v>
      </c>
      <c r="C17">
        <v>10.74</v>
      </c>
    </row>
    <row r="18" spans="1:3" x14ac:dyDescent="0.3">
      <c r="A18" t="s">
        <v>108</v>
      </c>
      <c r="B18">
        <v>12.92</v>
      </c>
      <c r="C18">
        <v>12.85</v>
      </c>
    </row>
    <row r="19" spans="1:3" x14ac:dyDescent="0.3">
      <c r="A19" t="s">
        <v>109</v>
      </c>
      <c r="B19">
        <v>10.15</v>
      </c>
      <c r="C19">
        <v>9.67</v>
      </c>
    </row>
    <row r="20" spans="1:3" x14ac:dyDescent="0.3">
      <c r="A20" t="s">
        <v>110</v>
      </c>
      <c r="B20">
        <v>10.35</v>
      </c>
      <c r="C20">
        <v>10.88</v>
      </c>
    </row>
    <row r="21" spans="1:3" x14ac:dyDescent="0.3">
      <c r="A21" t="s">
        <v>111</v>
      </c>
      <c r="B21">
        <v>17.93</v>
      </c>
      <c r="C21">
        <v>15.27</v>
      </c>
    </row>
    <row r="22" spans="1:3" x14ac:dyDescent="0.3">
      <c r="A22" t="s">
        <v>112</v>
      </c>
      <c r="B22">
        <v>9.4600000000000009</v>
      </c>
      <c r="C22">
        <v>9.86</v>
      </c>
    </row>
    <row r="23" spans="1:3" x14ac:dyDescent="0.3">
      <c r="A23" t="s">
        <v>113</v>
      </c>
      <c r="B23">
        <v>10.65</v>
      </c>
      <c r="C23">
        <v>10.75</v>
      </c>
    </row>
    <row r="24" spans="1:3" x14ac:dyDescent="0.3">
      <c r="A24" t="s">
        <v>114</v>
      </c>
      <c r="B24">
        <v>14.3</v>
      </c>
      <c r="C24">
        <v>13.25</v>
      </c>
    </row>
    <row r="25" spans="1:3" x14ac:dyDescent="0.3">
      <c r="A25" t="s">
        <v>115</v>
      </c>
      <c r="B25">
        <v>12.31</v>
      </c>
      <c r="C25">
        <v>13.24</v>
      </c>
    </row>
    <row r="26" spans="1:3" x14ac:dyDescent="0.3">
      <c r="A26" t="s">
        <v>116</v>
      </c>
      <c r="B26">
        <v>11.39</v>
      </c>
      <c r="C26">
        <v>11.67</v>
      </c>
    </row>
    <row r="27" spans="1:3" x14ac:dyDescent="0.3">
      <c r="B27">
        <v>7.66</v>
      </c>
      <c r="C27">
        <v>5.62</v>
      </c>
    </row>
    <row r="28" spans="1:3" x14ac:dyDescent="0.3">
      <c r="A28" t="s">
        <v>17</v>
      </c>
      <c r="B28">
        <v>12.83</v>
      </c>
      <c r="C28">
        <v>12.93</v>
      </c>
    </row>
    <row r="29" spans="1:3" x14ac:dyDescent="0.3">
      <c r="A29" t="s">
        <v>117</v>
      </c>
      <c r="B29">
        <v>16.52</v>
      </c>
      <c r="C29">
        <v>15.96</v>
      </c>
    </row>
    <row r="30" spans="1:3" x14ac:dyDescent="0.3">
      <c r="A30" t="s">
        <v>118</v>
      </c>
      <c r="B30">
        <v>10.28</v>
      </c>
      <c r="C30">
        <v>13</v>
      </c>
    </row>
    <row r="31" spans="1:3" x14ac:dyDescent="0.3">
      <c r="A31" t="s">
        <v>118</v>
      </c>
      <c r="B31">
        <v>7.72</v>
      </c>
      <c r="C31">
        <v>7.97</v>
      </c>
    </row>
    <row r="32" spans="1:3" x14ac:dyDescent="0.3">
      <c r="A32" t="s">
        <v>119</v>
      </c>
      <c r="B32">
        <v>12.48</v>
      </c>
      <c r="C32">
        <v>11.79</v>
      </c>
    </row>
    <row r="33" spans="1:3" x14ac:dyDescent="0.3">
      <c r="A33" t="s">
        <v>120</v>
      </c>
      <c r="B33">
        <v>12.95</v>
      </c>
      <c r="C33">
        <v>13.06</v>
      </c>
    </row>
    <row r="34" spans="1:3" x14ac:dyDescent="0.3">
      <c r="A34" t="s">
        <v>121</v>
      </c>
      <c r="B34">
        <v>9.9600000000000009</v>
      </c>
      <c r="C34">
        <v>10.119999999999999</v>
      </c>
    </row>
    <row r="35" spans="1:3" x14ac:dyDescent="0.3">
      <c r="A35" t="s">
        <v>122</v>
      </c>
      <c r="B35">
        <v>10.48</v>
      </c>
      <c r="C35">
        <v>10.68</v>
      </c>
    </row>
    <row r="36" spans="1:3" x14ac:dyDescent="0.3">
      <c r="A36" t="s">
        <v>98</v>
      </c>
      <c r="B36">
        <v>7.18</v>
      </c>
      <c r="C36">
        <v>7.12</v>
      </c>
    </row>
    <row r="37" spans="1:3" x14ac:dyDescent="0.3">
      <c r="A37" t="s">
        <v>98</v>
      </c>
      <c r="B37">
        <v>7.08</v>
      </c>
      <c r="C37">
        <v>6.84</v>
      </c>
    </row>
    <row r="38" spans="1:3" x14ac:dyDescent="0.3">
      <c r="A38" t="s">
        <v>98</v>
      </c>
      <c r="B38">
        <v>4.1500000000000004</v>
      </c>
      <c r="C38">
        <v>3.56</v>
      </c>
    </row>
    <row r="39" spans="1:3" x14ac:dyDescent="0.3">
      <c r="A39" t="s">
        <v>134</v>
      </c>
      <c r="B39">
        <v>8.1</v>
      </c>
      <c r="C39">
        <v>6.58</v>
      </c>
    </row>
    <row r="40" spans="1:3" x14ac:dyDescent="0.3">
      <c r="A40" t="s">
        <v>134</v>
      </c>
      <c r="B40">
        <v>5.84</v>
      </c>
      <c r="C40">
        <v>8.7899999999999991</v>
      </c>
    </row>
    <row r="41" spans="1:3" x14ac:dyDescent="0.3">
      <c r="A41" t="s">
        <v>135</v>
      </c>
      <c r="B41">
        <v>6.86</v>
      </c>
      <c r="C41">
        <v>6.85</v>
      </c>
    </row>
    <row r="42" spans="1:3" x14ac:dyDescent="0.3">
      <c r="A42" t="s">
        <v>135</v>
      </c>
      <c r="B42">
        <v>7.77</v>
      </c>
      <c r="C42">
        <v>8.14</v>
      </c>
    </row>
    <row r="43" spans="1:3" x14ac:dyDescent="0.3">
      <c r="A43" t="s">
        <v>135</v>
      </c>
      <c r="B43">
        <v>2.97</v>
      </c>
      <c r="C43">
        <v>3.26</v>
      </c>
    </row>
    <row r="44" spans="1:3" x14ac:dyDescent="0.3">
      <c r="A44" t="s">
        <v>136</v>
      </c>
      <c r="B44">
        <v>9.86</v>
      </c>
      <c r="C44">
        <v>9.6999999999999993</v>
      </c>
    </row>
    <row r="45" spans="1:3" x14ac:dyDescent="0.3">
      <c r="A45" t="s">
        <v>137</v>
      </c>
      <c r="B45">
        <v>10.49</v>
      </c>
      <c r="C45">
        <v>10.58</v>
      </c>
    </row>
    <row r="46" spans="1:3" x14ac:dyDescent="0.3">
      <c r="A46" t="s">
        <v>138</v>
      </c>
      <c r="B46">
        <v>13.03</v>
      </c>
      <c r="C46">
        <v>12.54</v>
      </c>
    </row>
    <row r="47" spans="1:3" x14ac:dyDescent="0.3">
      <c r="A47" t="s">
        <v>83</v>
      </c>
      <c r="B47">
        <v>8.3800000000000008</v>
      </c>
      <c r="C47">
        <v>7.29</v>
      </c>
    </row>
    <row r="48" spans="1:3" x14ac:dyDescent="0.3">
      <c r="A48" t="s">
        <v>83</v>
      </c>
      <c r="B48">
        <v>6.15</v>
      </c>
      <c r="C48">
        <v>6.37</v>
      </c>
    </row>
    <row r="49" spans="1:5" x14ac:dyDescent="0.3">
      <c r="A49" t="s">
        <v>139</v>
      </c>
      <c r="B49">
        <v>14.07</v>
      </c>
      <c r="C49">
        <v>13.76</v>
      </c>
    </row>
    <row r="50" spans="1:5" x14ac:dyDescent="0.3">
      <c r="A50" s="10" t="s">
        <v>140</v>
      </c>
      <c r="B50">
        <v>11.2</v>
      </c>
      <c r="C50">
        <v>7.71</v>
      </c>
    </row>
    <row r="51" spans="1:5" x14ac:dyDescent="0.3">
      <c r="A51" t="s">
        <v>141</v>
      </c>
      <c r="B51">
        <v>7.25</v>
      </c>
      <c r="C51">
        <v>8.64</v>
      </c>
    </row>
    <row r="52" spans="1:5" x14ac:dyDescent="0.3">
      <c r="A52" s="12" t="s">
        <v>141</v>
      </c>
      <c r="B52">
        <v>9.43</v>
      </c>
      <c r="C52">
        <v>7.24</v>
      </c>
    </row>
    <row r="53" spans="1:5" x14ac:dyDescent="0.3">
      <c r="A53" s="12" t="s">
        <v>25</v>
      </c>
      <c r="B53">
        <v>9.16</v>
      </c>
      <c r="C53">
        <v>9.23</v>
      </c>
      <c r="E53" t="s">
        <v>142</v>
      </c>
    </row>
    <row r="54" spans="1:5" x14ac:dyDescent="0.3">
      <c r="A54" s="12" t="s">
        <v>25</v>
      </c>
      <c r="B54">
        <v>6.48</v>
      </c>
      <c r="C54">
        <v>7.45</v>
      </c>
    </row>
    <row r="55" spans="1:5" x14ac:dyDescent="0.3">
      <c r="A55" s="12" t="s">
        <v>25</v>
      </c>
      <c r="B55">
        <v>7.34</v>
      </c>
      <c r="C55">
        <v>662</v>
      </c>
    </row>
    <row r="56" spans="1:5" x14ac:dyDescent="0.3">
      <c r="A56" s="12" t="s">
        <v>143</v>
      </c>
      <c r="B56">
        <v>5.39</v>
      </c>
      <c r="C56">
        <v>5.69</v>
      </c>
    </row>
    <row r="57" spans="1:5" x14ac:dyDescent="0.3">
      <c r="A57" s="12" t="s">
        <v>144</v>
      </c>
      <c r="B57">
        <v>15.09</v>
      </c>
      <c r="C57">
        <v>14.49</v>
      </c>
    </row>
    <row r="58" spans="1:5" x14ac:dyDescent="0.3">
      <c r="A58">
        <v>70</v>
      </c>
      <c r="B58">
        <v>9.8699999999999992</v>
      </c>
      <c r="C58">
        <v>5.05</v>
      </c>
    </row>
    <row r="59" spans="1:5" x14ac:dyDescent="0.3">
      <c r="A59">
        <v>70</v>
      </c>
      <c r="B59">
        <v>8.7100000000000009</v>
      </c>
      <c r="C59">
        <v>6.05</v>
      </c>
    </row>
    <row r="60" spans="1:5" x14ac:dyDescent="0.3">
      <c r="A60" t="s">
        <v>145</v>
      </c>
      <c r="B60">
        <v>11.05</v>
      </c>
      <c r="C60">
        <v>11.55</v>
      </c>
    </row>
    <row r="61" spans="1:5" x14ac:dyDescent="0.3">
      <c r="A61" t="s">
        <v>79</v>
      </c>
      <c r="B61">
        <v>12.13</v>
      </c>
      <c r="C61">
        <v>10.85</v>
      </c>
    </row>
    <row r="62" spans="1:5" x14ac:dyDescent="0.3">
      <c r="A62" t="s">
        <v>146</v>
      </c>
      <c r="B62">
        <v>15.71</v>
      </c>
      <c r="C62">
        <v>15.75</v>
      </c>
    </row>
    <row r="63" spans="1:5" x14ac:dyDescent="0.3">
      <c r="A63" t="s">
        <v>16</v>
      </c>
      <c r="B63">
        <v>7.72</v>
      </c>
      <c r="C63">
        <v>6.94</v>
      </c>
    </row>
    <row r="64" spans="1:5" x14ac:dyDescent="0.3">
      <c r="A64" t="s">
        <v>16</v>
      </c>
      <c r="B64">
        <v>3.9</v>
      </c>
      <c r="C64">
        <v>3.94</v>
      </c>
    </row>
    <row r="65" spans="1:4" x14ac:dyDescent="0.3">
      <c r="A65" t="s">
        <v>147</v>
      </c>
      <c r="B65">
        <v>13.18</v>
      </c>
      <c r="C65">
        <v>12.28</v>
      </c>
    </row>
    <row r="66" spans="1:4" x14ac:dyDescent="0.3">
      <c r="A66" t="s">
        <v>148</v>
      </c>
      <c r="B66">
        <v>14.92</v>
      </c>
      <c r="C66">
        <v>14.93</v>
      </c>
    </row>
    <row r="67" spans="1:4" x14ac:dyDescent="0.3">
      <c r="A67" t="s">
        <v>149</v>
      </c>
      <c r="B67">
        <v>12.03</v>
      </c>
      <c r="C67">
        <v>9.81</v>
      </c>
    </row>
    <row r="68" spans="1:4" x14ac:dyDescent="0.3">
      <c r="A68" t="s">
        <v>149</v>
      </c>
      <c r="B68">
        <v>4.26</v>
      </c>
      <c r="C68">
        <v>4.93</v>
      </c>
    </row>
    <row r="69" spans="1:4" x14ac:dyDescent="0.3">
      <c r="A69" t="s">
        <v>150</v>
      </c>
      <c r="B69">
        <v>8.89</v>
      </c>
      <c r="C69">
        <v>8.81</v>
      </c>
    </row>
    <row r="70" spans="1:4" x14ac:dyDescent="0.3">
      <c r="A70" t="s">
        <v>29</v>
      </c>
      <c r="B70">
        <v>14.82</v>
      </c>
      <c r="C70">
        <v>13.86</v>
      </c>
    </row>
    <row r="71" spans="1:4" x14ac:dyDescent="0.3">
      <c r="A71" t="s">
        <v>151</v>
      </c>
      <c r="B71">
        <v>11.41</v>
      </c>
      <c r="C71">
        <v>12.96</v>
      </c>
    </row>
    <row r="72" spans="1:4" x14ac:dyDescent="0.3">
      <c r="A72" t="s">
        <v>151</v>
      </c>
      <c r="B72">
        <v>9.6</v>
      </c>
      <c r="C72">
        <v>11.2</v>
      </c>
    </row>
    <row r="73" spans="1:4" x14ac:dyDescent="0.3">
      <c r="A73" t="s">
        <v>91</v>
      </c>
      <c r="B73">
        <v>17.420000000000002</v>
      </c>
      <c r="C73">
        <v>16.940000000000001</v>
      </c>
    </row>
    <row r="74" spans="1:4" x14ac:dyDescent="0.3">
      <c r="A74" t="s">
        <v>152</v>
      </c>
      <c r="B74">
        <v>15.53</v>
      </c>
      <c r="C74">
        <v>14.47</v>
      </c>
    </row>
    <row r="75" spans="1:4" x14ac:dyDescent="0.3">
      <c r="A75" s="13" t="s">
        <v>153</v>
      </c>
      <c r="B75">
        <v>10.32</v>
      </c>
      <c r="C75">
        <v>10.19</v>
      </c>
      <c r="D75" t="s">
        <v>154</v>
      </c>
    </row>
    <row r="76" spans="1:4" x14ac:dyDescent="0.3">
      <c r="A76" t="s">
        <v>155</v>
      </c>
      <c r="B76">
        <v>12.24</v>
      </c>
      <c r="C76">
        <v>12.15</v>
      </c>
    </row>
    <row r="77" spans="1:4" x14ac:dyDescent="0.3">
      <c r="A77" t="s">
        <v>156</v>
      </c>
      <c r="B77">
        <v>12.48</v>
      </c>
      <c r="C77">
        <v>11.41</v>
      </c>
    </row>
    <row r="78" spans="1:4" x14ac:dyDescent="0.3">
      <c r="A78" t="s">
        <v>157</v>
      </c>
      <c r="B78">
        <v>11.11</v>
      </c>
      <c r="C78">
        <v>10.63</v>
      </c>
    </row>
    <row r="79" spans="1:4" x14ac:dyDescent="0.3">
      <c r="A79">
        <v>147</v>
      </c>
      <c r="B79">
        <v>15.78</v>
      </c>
      <c r="C79">
        <v>16.95</v>
      </c>
    </row>
    <row r="80" spans="1:4" x14ac:dyDescent="0.3">
      <c r="A80" t="s">
        <v>158</v>
      </c>
      <c r="B80">
        <v>9.59</v>
      </c>
      <c r="C80">
        <v>9.4600000000000009</v>
      </c>
    </row>
    <row r="81" spans="1:4" x14ac:dyDescent="0.3">
      <c r="A81" t="s">
        <v>99</v>
      </c>
      <c r="B81">
        <v>9.08</v>
      </c>
      <c r="C81">
        <v>8.7799999999999994</v>
      </c>
    </row>
    <row r="82" spans="1:4" x14ac:dyDescent="0.3">
      <c r="A82" t="s">
        <v>99</v>
      </c>
      <c r="B82">
        <v>8.91</v>
      </c>
      <c r="C82">
        <v>9.41</v>
      </c>
    </row>
    <row r="83" spans="1:4" x14ac:dyDescent="0.3">
      <c r="A83" t="s">
        <v>132</v>
      </c>
      <c r="B83">
        <v>10.7</v>
      </c>
      <c r="C83">
        <v>10.57</v>
      </c>
    </row>
    <row r="84" spans="1:4" x14ac:dyDescent="0.3">
      <c r="A84" t="s">
        <v>159</v>
      </c>
      <c r="B84">
        <v>6.84</v>
      </c>
      <c r="C84">
        <v>6.79</v>
      </c>
    </row>
    <row r="85" spans="1:4" x14ac:dyDescent="0.3">
      <c r="A85" t="s">
        <v>160</v>
      </c>
      <c r="B85">
        <v>8.7100000000000009</v>
      </c>
      <c r="C85">
        <v>8.0399999999999991</v>
      </c>
      <c r="D85" t="s">
        <v>161</v>
      </c>
    </row>
    <row r="86" spans="1:4" x14ac:dyDescent="0.3">
      <c r="B86">
        <v>4.49</v>
      </c>
      <c r="C86">
        <v>4.5</v>
      </c>
    </row>
    <row r="87" spans="1:4" x14ac:dyDescent="0.3">
      <c r="A87" t="s">
        <v>162</v>
      </c>
      <c r="B87">
        <v>11.86</v>
      </c>
      <c r="C87">
        <v>12.68</v>
      </c>
    </row>
    <row r="88" spans="1:4" x14ac:dyDescent="0.3">
      <c r="A88" t="s">
        <v>89</v>
      </c>
      <c r="B88">
        <v>12.31</v>
      </c>
      <c r="C88">
        <v>11.03</v>
      </c>
    </row>
    <row r="89" spans="1:4" x14ac:dyDescent="0.3">
      <c r="A89" t="s">
        <v>89</v>
      </c>
      <c r="B89">
        <v>8.01</v>
      </c>
      <c r="C89">
        <v>7.59</v>
      </c>
    </row>
    <row r="90" spans="1:4" x14ac:dyDescent="0.3">
      <c r="A90" t="s">
        <v>89</v>
      </c>
      <c r="B90">
        <v>6.38</v>
      </c>
      <c r="C90">
        <v>6.85</v>
      </c>
    </row>
    <row r="91" spans="1:4" x14ac:dyDescent="0.3">
      <c r="A91" t="s">
        <v>89</v>
      </c>
      <c r="B91">
        <v>3.17</v>
      </c>
      <c r="C91">
        <v>3.34</v>
      </c>
    </row>
    <row r="92" spans="1:4" x14ac:dyDescent="0.3">
      <c r="A92" t="s">
        <v>163</v>
      </c>
      <c r="B92">
        <v>12.86</v>
      </c>
      <c r="C92">
        <v>12.91</v>
      </c>
    </row>
    <row r="93" spans="1:4" x14ac:dyDescent="0.3">
      <c r="A93" t="s">
        <v>163</v>
      </c>
      <c r="B93">
        <v>4.55</v>
      </c>
      <c r="C93">
        <v>5.6</v>
      </c>
    </row>
    <row r="94" spans="1:4" x14ac:dyDescent="0.3">
      <c r="A94" t="s">
        <v>164</v>
      </c>
      <c r="B94">
        <v>12.22</v>
      </c>
      <c r="C94">
        <v>11.82</v>
      </c>
    </row>
    <row r="95" spans="1:4" x14ac:dyDescent="0.3">
      <c r="A95" t="s">
        <v>93</v>
      </c>
      <c r="B95">
        <v>10.69</v>
      </c>
      <c r="C95">
        <v>10.220000000000001</v>
      </c>
    </row>
    <row r="96" spans="1:4" x14ac:dyDescent="0.3">
      <c r="A96" t="s">
        <v>165</v>
      </c>
      <c r="B96">
        <v>9.35</v>
      </c>
      <c r="C96">
        <v>11.24</v>
      </c>
    </row>
    <row r="97" spans="1:4" x14ac:dyDescent="0.3">
      <c r="A97" t="s">
        <v>26</v>
      </c>
      <c r="B97">
        <v>9.1</v>
      </c>
      <c r="C97">
        <v>9.82</v>
      </c>
    </row>
    <row r="98" spans="1:4" x14ac:dyDescent="0.3">
      <c r="A98" t="s">
        <v>26</v>
      </c>
      <c r="B98">
        <v>7.86</v>
      </c>
      <c r="C98">
        <v>7.88</v>
      </c>
    </row>
    <row r="99" spans="1:4" x14ac:dyDescent="0.3">
      <c r="A99" t="s">
        <v>26</v>
      </c>
      <c r="B99">
        <v>7.55</v>
      </c>
      <c r="C99">
        <v>7.69</v>
      </c>
    </row>
    <row r="100" spans="1:4" x14ac:dyDescent="0.3">
      <c r="A100" t="s">
        <v>55</v>
      </c>
      <c r="B100">
        <v>2.34</v>
      </c>
      <c r="C100">
        <v>5.33</v>
      </c>
    </row>
    <row r="101" spans="1:4" x14ac:dyDescent="0.3">
      <c r="A101" t="s">
        <v>33</v>
      </c>
      <c r="B101">
        <v>16.77</v>
      </c>
      <c r="C101">
        <v>17.55</v>
      </c>
    </row>
    <row r="102" spans="1:4" x14ac:dyDescent="0.3">
      <c r="A102" t="s">
        <v>167</v>
      </c>
      <c r="B102">
        <v>10.81</v>
      </c>
      <c r="C102">
        <v>10.050000000000001</v>
      </c>
      <c r="D102" t="s">
        <v>166</v>
      </c>
    </row>
    <row r="103" spans="1:4" x14ac:dyDescent="0.3">
      <c r="A103" t="s">
        <v>168</v>
      </c>
      <c r="B103">
        <v>10.24</v>
      </c>
      <c r="C103">
        <v>9.9600000000000009</v>
      </c>
    </row>
    <row r="104" spans="1:4" x14ac:dyDescent="0.3">
      <c r="A104" t="s">
        <v>169</v>
      </c>
      <c r="B104">
        <v>8.89</v>
      </c>
      <c r="C104">
        <v>8.92</v>
      </c>
    </row>
    <row r="105" spans="1:4" x14ac:dyDescent="0.3">
      <c r="A105" t="s">
        <v>170</v>
      </c>
      <c r="B105">
        <v>10.23</v>
      </c>
      <c r="C105">
        <v>10.59</v>
      </c>
    </row>
    <row r="106" spans="1:4" x14ac:dyDescent="0.3">
      <c r="A106" t="s">
        <v>171</v>
      </c>
      <c r="B106">
        <v>9.1</v>
      </c>
      <c r="C106">
        <v>8.9</v>
      </c>
    </row>
    <row r="107" spans="1:4" x14ac:dyDescent="0.3">
      <c r="A107" t="s">
        <v>171</v>
      </c>
      <c r="B107">
        <v>7.1</v>
      </c>
      <c r="C107">
        <v>6.73</v>
      </c>
    </row>
    <row r="108" spans="1:4" x14ac:dyDescent="0.3">
      <c r="A108" t="s">
        <v>2</v>
      </c>
      <c r="B108">
        <v>13.71</v>
      </c>
      <c r="C108">
        <v>13.74</v>
      </c>
    </row>
    <row r="109" spans="1:4" x14ac:dyDescent="0.3">
      <c r="A109" t="s">
        <v>172</v>
      </c>
      <c r="B109">
        <v>13.97</v>
      </c>
      <c r="C109">
        <v>12.08</v>
      </c>
    </row>
    <row r="110" spans="1:4" x14ac:dyDescent="0.3">
      <c r="A110" t="s">
        <v>172</v>
      </c>
      <c r="B110">
        <v>5.03</v>
      </c>
      <c r="C110">
        <v>4.51</v>
      </c>
    </row>
    <row r="111" spans="1:4" x14ac:dyDescent="0.3">
      <c r="A111" t="s">
        <v>173</v>
      </c>
      <c r="B111">
        <v>12.53</v>
      </c>
      <c r="C111">
        <v>13.29</v>
      </c>
    </row>
    <row r="112" spans="1:4" x14ac:dyDescent="0.3">
      <c r="A112" t="s">
        <v>174</v>
      </c>
      <c r="B112">
        <v>11.8</v>
      </c>
      <c r="C112">
        <v>11.76</v>
      </c>
    </row>
    <row r="113" spans="1:4" x14ac:dyDescent="0.3">
      <c r="A113" s="13" t="s">
        <v>175</v>
      </c>
      <c r="B113" s="13">
        <v>5.5</v>
      </c>
      <c r="C113" s="13">
        <v>5.5</v>
      </c>
    </row>
    <row r="114" spans="1:4" x14ac:dyDescent="0.3">
      <c r="A114" s="13" t="s">
        <v>175</v>
      </c>
      <c r="B114" s="13">
        <v>5</v>
      </c>
      <c r="C114" s="13">
        <v>5</v>
      </c>
    </row>
    <row r="115" spans="1:4" x14ac:dyDescent="0.3">
      <c r="A115" s="13" t="s">
        <v>175</v>
      </c>
      <c r="B115" s="13">
        <v>4.6500000000000004</v>
      </c>
      <c r="C115" s="13">
        <v>4.6500000000000004</v>
      </c>
    </row>
    <row r="116" spans="1:4" x14ac:dyDescent="0.3">
      <c r="A116" s="13" t="s">
        <v>175</v>
      </c>
      <c r="B116" s="13">
        <v>5.93</v>
      </c>
      <c r="C116" s="13">
        <v>5.93</v>
      </c>
    </row>
    <row r="117" spans="1:4" x14ac:dyDescent="0.3">
      <c r="A117" s="13" t="s">
        <v>175</v>
      </c>
      <c r="B117" s="13">
        <v>4.46</v>
      </c>
      <c r="C117" s="13">
        <v>4.46</v>
      </c>
    </row>
    <row r="118" spans="1:4" x14ac:dyDescent="0.3">
      <c r="A118" t="s">
        <v>74</v>
      </c>
      <c r="B118">
        <v>11.33</v>
      </c>
      <c r="C118">
        <v>11.19</v>
      </c>
    </row>
    <row r="119" spans="1:4" x14ac:dyDescent="0.3">
      <c r="A119" t="s">
        <v>176</v>
      </c>
      <c r="B119">
        <v>13.12</v>
      </c>
      <c r="C119">
        <v>13.6</v>
      </c>
    </row>
    <row r="120" spans="1:4" x14ac:dyDescent="0.3">
      <c r="A120" t="s">
        <v>177</v>
      </c>
      <c r="B120">
        <v>13.78</v>
      </c>
      <c r="C120">
        <v>13.54</v>
      </c>
    </row>
    <row r="121" spans="1:4" x14ac:dyDescent="0.3">
      <c r="A121" t="s">
        <v>178</v>
      </c>
      <c r="B121">
        <v>10.75</v>
      </c>
      <c r="C121">
        <v>12.12</v>
      </c>
    </row>
    <row r="122" spans="1:4" x14ac:dyDescent="0.3">
      <c r="A122" t="s">
        <v>179</v>
      </c>
      <c r="B122">
        <v>12.26</v>
      </c>
      <c r="C122">
        <v>12.42</v>
      </c>
    </row>
    <row r="123" spans="1:4" x14ac:dyDescent="0.3">
      <c r="A123" t="s">
        <v>180</v>
      </c>
      <c r="B123">
        <v>8.93</v>
      </c>
      <c r="C123">
        <v>9.48</v>
      </c>
    </row>
    <row r="124" spans="1:4" x14ac:dyDescent="0.3">
      <c r="A124" t="s">
        <v>181</v>
      </c>
      <c r="B124">
        <v>9.1199999999999992</v>
      </c>
      <c r="C124">
        <v>10.4</v>
      </c>
    </row>
    <row r="125" spans="1:4" x14ac:dyDescent="0.3">
      <c r="A125" s="13" t="s">
        <v>183</v>
      </c>
      <c r="B125" s="13">
        <v>16.63</v>
      </c>
      <c r="C125" s="13">
        <v>16.63</v>
      </c>
      <c r="D125" s="13" t="s">
        <v>182</v>
      </c>
    </row>
    <row r="126" spans="1:4" x14ac:dyDescent="0.3">
      <c r="A126" s="13" t="s">
        <v>183</v>
      </c>
      <c r="B126" s="13">
        <v>10.17</v>
      </c>
      <c r="C126" s="13">
        <v>10.17</v>
      </c>
      <c r="D126" s="13"/>
    </row>
    <row r="127" spans="1:4" x14ac:dyDescent="0.3">
      <c r="A127" t="s">
        <v>184</v>
      </c>
      <c r="B127">
        <v>10.55</v>
      </c>
      <c r="C127">
        <v>11.26</v>
      </c>
    </row>
    <row r="128" spans="1:4" x14ac:dyDescent="0.3">
      <c r="A128" t="s">
        <v>185</v>
      </c>
      <c r="B128">
        <v>7.48</v>
      </c>
      <c r="C128">
        <v>8.31</v>
      </c>
    </row>
    <row r="129" spans="1:3" x14ac:dyDescent="0.3">
      <c r="A129" t="s">
        <v>186</v>
      </c>
      <c r="B129">
        <v>13.33</v>
      </c>
      <c r="C129">
        <v>13.86</v>
      </c>
    </row>
    <row r="130" spans="1:3" x14ac:dyDescent="0.3">
      <c r="A130" t="s">
        <v>187</v>
      </c>
      <c r="B130">
        <v>14.6</v>
      </c>
      <c r="C130">
        <v>14.87</v>
      </c>
    </row>
    <row r="131" spans="1:3" x14ac:dyDescent="0.3">
      <c r="A131" t="s">
        <v>131</v>
      </c>
      <c r="B131">
        <v>12.37</v>
      </c>
      <c r="C131">
        <v>13.06</v>
      </c>
    </row>
    <row r="132" spans="1:3" x14ac:dyDescent="0.3">
      <c r="A132" t="s">
        <v>131</v>
      </c>
      <c r="B132">
        <v>7.98</v>
      </c>
      <c r="C132">
        <v>8.5500000000000007</v>
      </c>
    </row>
    <row r="133" spans="1:3" x14ac:dyDescent="0.3">
      <c r="A133" t="s">
        <v>188</v>
      </c>
      <c r="B133">
        <v>14.23</v>
      </c>
      <c r="C133">
        <v>12.2</v>
      </c>
    </row>
    <row r="134" spans="1:3" x14ac:dyDescent="0.3">
      <c r="A134" t="s">
        <v>189</v>
      </c>
      <c r="B134">
        <v>10.119999999999999</v>
      </c>
      <c r="C134">
        <v>10.119999999999999</v>
      </c>
    </row>
    <row r="135" spans="1:3" x14ac:dyDescent="0.3">
      <c r="A135" t="s">
        <v>189</v>
      </c>
      <c r="B135">
        <v>5.36</v>
      </c>
      <c r="C135">
        <v>5.36</v>
      </c>
    </row>
    <row r="136" spans="1:3" x14ac:dyDescent="0.3">
      <c r="A136" t="s">
        <v>189</v>
      </c>
      <c r="B136">
        <v>10.09</v>
      </c>
      <c r="C136">
        <v>10.09</v>
      </c>
    </row>
    <row r="137" spans="1:3" x14ac:dyDescent="0.3">
      <c r="A137" t="s">
        <v>190</v>
      </c>
      <c r="B137">
        <v>13.76</v>
      </c>
      <c r="C137">
        <v>13.75</v>
      </c>
    </row>
    <row r="138" spans="1:3" x14ac:dyDescent="0.3">
      <c r="A138" t="s">
        <v>191</v>
      </c>
      <c r="B138">
        <v>11.3</v>
      </c>
      <c r="C138">
        <v>11.46</v>
      </c>
    </row>
    <row r="139" spans="1:3" x14ac:dyDescent="0.3">
      <c r="A139" t="s">
        <v>191</v>
      </c>
      <c r="B139">
        <v>7.24</v>
      </c>
      <c r="C139">
        <v>7.96</v>
      </c>
    </row>
    <row r="140" spans="1:3" x14ac:dyDescent="0.3">
      <c r="A140" t="s">
        <v>192</v>
      </c>
      <c r="B140">
        <v>8.5500000000000007</v>
      </c>
      <c r="C140">
        <v>8.49</v>
      </c>
    </row>
    <row r="141" spans="1:3" x14ac:dyDescent="0.3">
      <c r="A141" t="s">
        <v>193</v>
      </c>
      <c r="B141">
        <v>10.039999999999999</v>
      </c>
      <c r="C141">
        <v>11.52</v>
      </c>
    </row>
    <row r="142" spans="1:3" x14ac:dyDescent="0.3">
      <c r="A142" t="s">
        <v>65</v>
      </c>
      <c r="B142">
        <v>9.7200000000000006</v>
      </c>
      <c r="C142">
        <v>8.9700000000000006</v>
      </c>
    </row>
    <row r="143" spans="1:3" x14ac:dyDescent="0.3">
      <c r="A143" t="s">
        <v>65</v>
      </c>
      <c r="B143">
        <v>5.83</v>
      </c>
      <c r="C143">
        <v>5.77</v>
      </c>
    </row>
    <row r="144" spans="1:3" x14ac:dyDescent="0.3">
      <c r="A144" t="s">
        <v>96</v>
      </c>
      <c r="B144">
        <v>10.55</v>
      </c>
      <c r="C144">
        <v>11.12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Hoja1</vt:lpstr>
      <vt:lpstr>Hoja2</vt:lpstr>
      <vt:lpstr>Hoja4</vt:lpstr>
      <vt:lpstr>Hoja3</vt:lpstr>
      <vt:lpstr>Peso-seco</vt:lpstr>
      <vt:lpstr>Hoja6</vt:lpstr>
      <vt:lpstr>Hoja5</vt:lpstr>
      <vt:lpstr>Hoja7</vt:lpstr>
      <vt:lpstr>Hoja8</vt:lpstr>
      <vt:lpstr>Hoja9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MELISSA NARANJO BRAVO</dc:creator>
  <cp:lastModifiedBy>LIZETH MELISSA NARANJO BRAVO</cp:lastModifiedBy>
  <dcterms:created xsi:type="dcterms:W3CDTF">2026-04-08T14:38:14Z</dcterms:created>
  <dcterms:modified xsi:type="dcterms:W3CDTF">2026-06-04T23:39:51Z</dcterms:modified>
</cp:coreProperties>
</file>