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zme\Desktop\doctorado\ecofisiologia\experimento_sequia\gmin_analisis\"/>
    </mc:Choice>
  </mc:AlternateContent>
  <xr:revisionPtr revIDLastSave="0" documentId="13_ncr:1_{9594F1A6-075C-4A72-B35B-EDC2A74F3055}" xr6:coauthVersionLast="47" xr6:coauthVersionMax="47" xr10:uidLastSave="{00000000-0000-0000-0000-000000000000}"/>
  <bookViews>
    <workbookView xWindow="-108" yWindow="-108" windowWidth="23256" windowHeight="12456" activeTab="5" xr2:uid="{56CDB0CA-44E2-488A-98E2-43CEAF64DB3A}"/>
  </bookViews>
  <sheets>
    <sheet name="Hoja1" sheetId="1" r:id="rId1"/>
    <sheet name="Hoja2" sheetId="2" r:id="rId2"/>
    <sheet name="Hoja3" sheetId="6" r:id="rId3"/>
    <sheet name="Hoja4" sheetId="5" r:id="rId4"/>
    <sheet name="Hoja5" sheetId="7" r:id="rId5"/>
    <sheet name="Hoja6" sheetId="8" r:id="rId6"/>
    <sheet name="Hoja7" sheetId="9" r:id="rId7"/>
    <sheet name="Hoja8" sheetId="10" r:id="rId8"/>
    <sheet name="Hoja9" sheetId="12" r:id="rId9"/>
    <sheet name="Peso-seco" sheetId="4" r:id="rId10"/>
    <sheet name="base" sheetId="11" r:id="rId11"/>
  </sheets>
  <definedNames>
    <definedName name="_xlnm._FilterDatabase" localSheetId="0" hidden="1">Hoja1!$A$1:$A$1009</definedName>
    <definedName name="_xlnm._FilterDatabase" localSheetId="1" hidden="1">Hoja2!$A$1:$F$93</definedName>
    <definedName name="_xlnm._FilterDatabase" localSheetId="2" hidden="1">Hoja3!$A$1:$A$121</definedName>
    <definedName name="_xlnm._FilterDatabase" localSheetId="3" hidden="1">Hoja4!$A$1:$E$99</definedName>
    <definedName name="_xlnm._FilterDatabase" localSheetId="4" hidden="1">Hoja5!$A$1:$E$122</definedName>
    <definedName name="_xlnm._FilterDatabase" localSheetId="5" hidden="1">Hoja6!$A$1:$A$151</definedName>
    <definedName name="_xlnm._FilterDatabase" localSheetId="6" hidden="1">Hoja7!$A$1:$A$168</definedName>
    <definedName name="_xlnm._FilterDatabase" localSheetId="7" hidden="1">Hoja8!$A$1:$A$138</definedName>
    <definedName name="_xlnm._FilterDatabase" localSheetId="8" hidden="1">Hoja9!$A$1:$Q$146</definedName>
    <definedName name="_xlnm._FilterDatabase" localSheetId="9" hidden="1">'Peso-seco'!$F$1:$F$73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09" i="1" l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B915" i="1"/>
  <c r="B924" i="1" s="1"/>
  <c r="B933" i="1" s="1"/>
  <c r="B942" i="1" s="1"/>
  <c r="B951" i="1" s="1"/>
  <c r="B960" i="1" s="1"/>
  <c r="B969" i="1" s="1"/>
  <c r="B978" i="1" s="1"/>
  <c r="B987" i="1" s="1"/>
  <c r="B996" i="1" s="1"/>
  <c r="B1005" i="1" s="1"/>
  <c r="C914" i="1"/>
  <c r="C913" i="1"/>
  <c r="C912" i="1"/>
  <c r="C911" i="1"/>
  <c r="C910" i="1"/>
  <c r="C909" i="1"/>
  <c r="C908" i="1"/>
  <c r="C907" i="1"/>
  <c r="C906" i="1"/>
  <c r="B906" i="1"/>
  <c r="C905" i="1"/>
  <c r="C904" i="1"/>
  <c r="C903" i="1"/>
  <c r="C902" i="1"/>
  <c r="C901" i="1"/>
  <c r="B901" i="1"/>
  <c r="B910" i="1" s="1"/>
  <c r="B919" i="1" s="1"/>
  <c r="B928" i="1" s="1"/>
  <c r="B937" i="1" s="1"/>
  <c r="B946" i="1" s="1"/>
  <c r="B955" i="1" s="1"/>
  <c r="B964" i="1" s="1"/>
  <c r="B973" i="1" s="1"/>
  <c r="B982" i="1" s="1"/>
  <c r="B991" i="1" s="1"/>
  <c r="B1000" i="1" s="1"/>
  <c r="B1009" i="1" s="1"/>
  <c r="C900" i="1"/>
  <c r="B900" i="1"/>
  <c r="B909" i="1" s="1"/>
  <c r="B918" i="1" s="1"/>
  <c r="B927" i="1" s="1"/>
  <c r="B936" i="1" s="1"/>
  <c r="B945" i="1" s="1"/>
  <c r="B954" i="1" s="1"/>
  <c r="B963" i="1" s="1"/>
  <c r="B972" i="1" s="1"/>
  <c r="B981" i="1" s="1"/>
  <c r="B990" i="1" s="1"/>
  <c r="B999" i="1" s="1"/>
  <c r="B1008" i="1" s="1"/>
  <c r="C899" i="1"/>
  <c r="B899" i="1"/>
  <c r="B908" i="1" s="1"/>
  <c r="B917" i="1" s="1"/>
  <c r="B926" i="1" s="1"/>
  <c r="B935" i="1" s="1"/>
  <c r="B944" i="1" s="1"/>
  <c r="B953" i="1" s="1"/>
  <c r="B962" i="1" s="1"/>
  <c r="B971" i="1" s="1"/>
  <c r="B980" i="1" s="1"/>
  <c r="B989" i="1" s="1"/>
  <c r="B998" i="1" s="1"/>
  <c r="B1007" i="1" s="1"/>
  <c r="C898" i="1"/>
  <c r="B898" i="1"/>
  <c r="B907" i="1" s="1"/>
  <c r="B916" i="1" s="1"/>
  <c r="B925" i="1" s="1"/>
  <c r="B934" i="1" s="1"/>
  <c r="B943" i="1" s="1"/>
  <c r="B952" i="1" s="1"/>
  <c r="B961" i="1" s="1"/>
  <c r="B970" i="1" s="1"/>
  <c r="B979" i="1" s="1"/>
  <c r="B988" i="1" s="1"/>
  <c r="B997" i="1" s="1"/>
  <c r="B1006" i="1" s="1"/>
  <c r="C897" i="1"/>
  <c r="B897" i="1"/>
  <c r="C896" i="1"/>
  <c r="B896" i="1"/>
  <c r="B905" i="1" s="1"/>
  <c r="B914" i="1" s="1"/>
  <c r="B923" i="1" s="1"/>
  <c r="B932" i="1" s="1"/>
  <c r="B941" i="1" s="1"/>
  <c r="B950" i="1" s="1"/>
  <c r="B959" i="1" s="1"/>
  <c r="B968" i="1" s="1"/>
  <c r="B977" i="1" s="1"/>
  <c r="B986" i="1" s="1"/>
  <c r="B995" i="1" s="1"/>
  <c r="B1004" i="1" s="1"/>
  <c r="C895" i="1"/>
  <c r="B895" i="1"/>
  <c r="B904" i="1" s="1"/>
  <c r="B913" i="1" s="1"/>
  <c r="B922" i="1" s="1"/>
  <c r="B931" i="1" s="1"/>
  <c r="B940" i="1" s="1"/>
  <c r="B949" i="1" s="1"/>
  <c r="B958" i="1" s="1"/>
  <c r="B967" i="1" s="1"/>
  <c r="B976" i="1" s="1"/>
  <c r="B985" i="1" s="1"/>
  <c r="B994" i="1" s="1"/>
  <c r="B1003" i="1" s="1"/>
  <c r="C894" i="1"/>
  <c r="B894" i="1"/>
  <c r="B903" i="1" s="1"/>
  <c r="B912" i="1" s="1"/>
  <c r="B921" i="1" s="1"/>
  <c r="B930" i="1" s="1"/>
  <c r="B939" i="1" s="1"/>
  <c r="B948" i="1" s="1"/>
  <c r="B957" i="1" s="1"/>
  <c r="B966" i="1" s="1"/>
  <c r="B975" i="1" s="1"/>
  <c r="B984" i="1" s="1"/>
  <c r="B993" i="1" s="1"/>
  <c r="B1002" i="1" s="1"/>
  <c r="C893" i="1"/>
  <c r="B893" i="1"/>
  <c r="B902" i="1" s="1"/>
  <c r="B911" i="1" s="1"/>
  <c r="B920" i="1" s="1"/>
  <c r="B929" i="1" s="1"/>
  <c r="B938" i="1" s="1"/>
  <c r="B947" i="1" s="1"/>
  <c r="B956" i="1" s="1"/>
  <c r="B965" i="1" s="1"/>
  <c r="B974" i="1" s="1"/>
  <c r="B983" i="1" s="1"/>
  <c r="B992" i="1" s="1"/>
  <c r="B1001" i="1" s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B783" i="1"/>
  <c r="B792" i="1" s="1"/>
  <c r="B801" i="1" s="1"/>
  <c r="B810" i="1" s="1"/>
  <c r="B819" i="1" s="1"/>
  <c r="B828" i="1" s="1"/>
  <c r="B837" i="1" s="1"/>
  <c r="B846" i="1" s="1"/>
  <c r="B855" i="1" s="1"/>
  <c r="B864" i="1" s="1"/>
  <c r="B873" i="1" s="1"/>
  <c r="B882" i="1" s="1"/>
  <c r="C782" i="1"/>
  <c r="C781" i="1"/>
  <c r="C780" i="1"/>
  <c r="C779" i="1"/>
  <c r="C778" i="1"/>
  <c r="C777" i="1"/>
  <c r="C776" i="1"/>
  <c r="C775" i="1"/>
  <c r="B775" i="1"/>
  <c r="B784" i="1" s="1"/>
  <c r="B793" i="1" s="1"/>
  <c r="B802" i="1" s="1"/>
  <c r="B811" i="1" s="1"/>
  <c r="B820" i="1" s="1"/>
  <c r="B829" i="1" s="1"/>
  <c r="B838" i="1" s="1"/>
  <c r="B847" i="1" s="1"/>
  <c r="B856" i="1" s="1"/>
  <c r="B865" i="1" s="1"/>
  <c r="B874" i="1" s="1"/>
  <c r="B883" i="1" s="1"/>
  <c r="C774" i="1"/>
  <c r="B774" i="1"/>
  <c r="C773" i="1"/>
  <c r="B773" i="1"/>
  <c r="B782" i="1" s="1"/>
  <c r="B791" i="1" s="1"/>
  <c r="B800" i="1" s="1"/>
  <c r="B809" i="1" s="1"/>
  <c r="B818" i="1" s="1"/>
  <c r="B827" i="1" s="1"/>
  <c r="B836" i="1" s="1"/>
  <c r="B845" i="1" s="1"/>
  <c r="B854" i="1" s="1"/>
  <c r="B863" i="1" s="1"/>
  <c r="B872" i="1" s="1"/>
  <c r="B881" i="1" s="1"/>
  <c r="C772" i="1"/>
  <c r="B772" i="1"/>
  <c r="B781" i="1" s="1"/>
  <c r="B790" i="1" s="1"/>
  <c r="B799" i="1" s="1"/>
  <c r="B808" i="1" s="1"/>
  <c r="B817" i="1" s="1"/>
  <c r="B826" i="1" s="1"/>
  <c r="B835" i="1" s="1"/>
  <c r="B844" i="1" s="1"/>
  <c r="B853" i="1" s="1"/>
  <c r="B862" i="1" s="1"/>
  <c r="B871" i="1" s="1"/>
  <c r="B880" i="1" s="1"/>
  <c r="C771" i="1"/>
  <c r="B771" i="1"/>
  <c r="B780" i="1" s="1"/>
  <c r="B789" i="1" s="1"/>
  <c r="B798" i="1" s="1"/>
  <c r="B807" i="1" s="1"/>
  <c r="B816" i="1" s="1"/>
  <c r="B825" i="1" s="1"/>
  <c r="B834" i="1" s="1"/>
  <c r="B843" i="1" s="1"/>
  <c r="B852" i="1" s="1"/>
  <c r="B861" i="1" s="1"/>
  <c r="B870" i="1" s="1"/>
  <c r="B879" i="1" s="1"/>
  <c r="C770" i="1"/>
  <c r="B770" i="1"/>
  <c r="B779" i="1" s="1"/>
  <c r="B788" i="1" s="1"/>
  <c r="B797" i="1" s="1"/>
  <c r="B806" i="1" s="1"/>
  <c r="B815" i="1" s="1"/>
  <c r="B824" i="1" s="1"/>
  <c r="B833" i="1" s="1"/>
  <c r="B842" i="1" s="1"/>
  <c r="B851" i="1" s="1"/>
  <c r="B860" i="1" s="1"/>
  <c r="B869" i="1" s="1"/>
  <c r="B878" i="1" s="1"/>
  <c r="C769" i="1"/>
  <c r="B769" i="1"/>
  <c r="B778" i="1" s="1"/>
  <c r="B787" i="1" s="1"/>
  <c r="B796" i="1" s="1"/>
  <c r="B805" i="1" s="1"/>
  <c r="B814" i="1" s="1"/>
  <c r="B823" i="1" s="1"/>
  <c r="B832" i="1" s="1"/>
  <c r="B841" i="1" s="1"/>
  <c r="B850" i="1" s="1"/>
  <c r="B859" i="1" s="1"/>
  <c r="B868" i="1" s="1"/>
  <c r="B877" i="1" s="1"/>
  <c r="C768" i="1"/>
  <c r="B768" i="1"/>
  <c r="B777" i="1" s="1"/>
  <c r="B786" i="1" s="1"/>
  <c r="B795" i="1" s="1"/>
  <c r="B804" i="1" s="1"/>
  <c r="B813" i="1" s="1"/>
  <c r="B822" i="1" s="1"/>
  <c r="B831" i="1" s="1"/>
  <c r="B840" i="1" s="1"/>
  <c r="B849" i="1" s="1"/>
  <c r="B858" i="1" s="1"/>
  <c r="B867" i="1" s="1"/>
  <c r="B876" i="1" s="1"/>
  <c r="E767" i="1"/>
  <c r="E776" i="1" s="1"/>
  <c r="E785" i="1" s="1"/>
  <c r="E794" i="1" s="1"/>
  <c r="E803" i="1" s="1"/>
  <c r="E812" i="1" s="1"/>
  <c r="E821" i="1" s="1"/>
  <c r="E830" i="1" s="1"/>
  <c r="E839" i="1" s="1"/>
  <c r="E848" i="1" s="1"/>
  <c r="E857" i="1" s="1"/>
  <c r="E866" i="1" s="1"/>
  <c r="E875" i="1" s="1"/>
  <c r="E884" i="1" s="1"/>
  <c r="E893" i="1" s="1"/>
  <c r="E902" i="1" s="1"/>
  <c r="E911" i="1" s="1"/>
  <c r="E920" i="1" s="1"/>
  <c r="E929" i="1" s="1"/>
  <c r="E938" i="1" s="1"/>
  <c r="E947" i="1" s="1"/>
  <c r="E956" i="1" s="1"/>
  <c r="E965" i="1" s="1"/>
  <c r="E974" i="1" s="1"/>
  <c r="E983" i="1" s="1"/>
  <c r="E992" i="1" s="1"/>
  <c r="E1001" i="1" s="1"/>
  <c r="C767" i="1"/>
  <c r="B767" i="1"/>
  <c r="B776" i="1" s="1"/>
  <c r="B785" i="1" s="1"/>
  <c r="B794" i="1" s="1"/>
  <c r="B803" i="1" s="1"/>
  <c r="B812" i="1" s="1"/>
  <c r="B821" i="1" s="1"/>
  <c r="B830" i="1" s="1"/>
  <c r="B839" i="1" s="1"/>
  <c r="B848" i="1" s="1"/>
  <c r="B857" i="1" s="1"/>
  <c r="B866" i="1" s="1"/>
  <c r="B875" i="1" s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B685" i="1"/>
  <c r="B694" i="1" s="1"/>
  <c r="B703" i="1" s="1"/>
  <c r="B712" i="1" s="1"/>
  <c r="B721" i="1" s="1"/>
  <c r="B730" i="1" s="1"/>
  <c r="B739" i="1" s="1"/>
  <c r="B748" i="1" s="1"/>
  <c r="B757" i="1" s="1"/>
  <c r="C684" i="1"/>
  <c r="B684" i="1"/>
  <c r="B693" i="1" s="1"/>
  <c r="B702" i="1" s="1"/>
  <c r="B711" i="1" s="1"/>
  <c r="B720" i="1" s="1"/>
  <c r="B729" i="1" s="1"/>
  <c r="B738" i="1" s="1"/>
  <c r="B747" i="1" s="1"/>
  <c r="B756" i="1" s="1"/>
  <c r="C683" i="1"/>
  <c r="B683" i="1"/>
  <c r="B692" i="1" s="1"/>
  <c r="B701" i="1" s="1"/>
  <c r="B710" i="1" s="1"/>
  <c r="B719" i="1" s="1"/>
  <c r="B728" i="1" s="1"/>
  <c r="B737" i="1" s="1"/>
  <c r="B746" i="1" s="1"/>
  <c r="B755" i="1" s="1"/>
  <c r="C682" i="1"/>
  <c r="B682" i="1"/>
  <c r="B691" i="1" s="1"/>
  <c r="B700" i="1" s="1"/>
  <c r="B709" i="1" s="1"/>
  <c r="B718" i="1" s="1"/>
  <c r="B727" i="1" s="1"/>
  <c r="B736" i="1" s="1"/>
  <c r="B745" i="1" s="1"/>
  <c r="B754" i="1" s="1"/>
  <c r="C681" i="1"/>
  <c r="B681" i="1"/>
  <c r="B690" i="1" s="1"/>
  <c r="B699" i="1" s="1"/>
  <c r="B708" i="1" s="1"/>
  <c r="B717" i="1" s="1"/>
  <c r="B726" i="1" s="1"/>
  <c r="B735" i="1" s="1"/>
  <c r="B744" i="1" s="1"/>
  <c r="B753" i="1" s="1"/>
  <c r="C680" i="1"/>
  <c r="B680" i="1"/>
  <c r="B689" i="1" s="1"/>
  <c r="B698" i="1" s="1"/>
  <c r="B707" i="1" s="1"/>
  <c r="B716" i="1" s="1"/>
  <c r="B725" i="1" s="1"/>
  <c r="B734" i="1" s="1"/>
  <c r="B743" i="1" s="1"/>
  <c r="B752" i="1" s="1"/>
  <c r="C679" i="1"/>
  <c r="B679" i="1"/>
  <c r="B688" i="1" s="1"/>
  <c r="B697" i="1" s="1"/>
  <c r="B706" i="1" s="1"/>
  <c r="B715" i="1" s="1"/>
  <c r="B724" i="1" s="1"/>
  <c r="B733" i="1" s="1"/>
  <c r="B742" i="1" s="1"/>
  <c r="B751" i="1" s="1"/>
  <c r="C678" i="1"/>
  <c r="B678" i="1"/>
  <c r="B687" i="1" s="1"/>
  <c r="B696" i="1" s="1"/>
  <c r="B705" i="1" s="1"/>
  <c r="B714" i="1" s="1"/>
  <c r="B723" i="1" s="1"/>
  <c r="B732" i="1" s="1"/>
  <c r="B741" i="1" s="1"/>
  <c r="B750" i="1" s="1"/>
  <c r="C677" i="1"/>
  <c r="B677" i="1"/>
  <c r="B686" i="1" s="1"/>
  <c r="B695" i="1" s="1"/>
  <c r="B704" i="1" s="1"/>
  <c r="B713" i="1" s="1"/>
  <c r="B722" i="1" s="1"/>
  <c r="B731" i="1" s="1"/>
  <c r="B740" i="1" s="1"/>
  <c r="B749" i="1" s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E400" i="1"/>
  <c r="E407" i="1" s="1"/>
  <c r="E414" i="1" s="1"/>
  <c r="E421" i="1" s="1"/>
  <c r="E428" i="1" s="1"/>
  <c r="E435" i="1" s="1"/>
  <c r="E442" i="1" s="1"/>
  <c r="E449" i="1" s="1"/>
  <c r="E456" i="1" s="1"/>
  <c r="E463" i="1" s="1"/>
  <c r="E470" i="1" s="1"/>
  <c r="E477" i="1" s="1"/>
  <c r="E484" i="1" s="1"/>
  <c r="E399" i="1"/>
  <c r="E406" i="1" s="1"/>
  <c r="E413" i="1" s="1"/>
  <c r="E420" i="1" s="1"/>
  <c r="E427" i="1" s="1"/>
  <c r="E434" i="1" s="1"/>
  <c r="E441" i="1" s="1"/>
  <c r="E448" i="1" s="1"/>
  <c r="E455" i="1" s="1"/>
  <c r="E462" i="1" s="1"/>
  <c r="E469" i="1" s="1"/>
  <c r="E476" i="1" s="1"/>
  <c r="E483" i="1" s="1"/>
  <c r="E398" i="1"/>
  <c r="E405" i="1" s="1"/>
  <c r="E412" i="1" s="1"/>
  <c r="E419" i="1" s="1"/>
  <c r="E426" i="1" s="1"/>
  <c r="E433" i="1" s="1"/>
  <c r="E440" i="1" s="1"/>
  <c r="E447" i="1" s="1"/>
  <c r="E454" i="1" s="1"/>
  <c r="E461" i="1" s="1"/>
  <c r="E468" i="1" s="1"/>
  <c r="E475" i="1" s="1"/>
  <c r="E482" i="1" s="1"/>
  <c r="E397" i="1"/>
  <c r="E404" i="1" s="1"/>
  <c r="E411" i="1" s="1"/>
  <c r="E418" i="1" s="1"/>
  <c r="E425" i="1" s="1"/>
  <c r="E432" i="1" s="1"/>
  <c r="E439" i="1" s="1"/>
  <c r="E446" i="1" s="1"/>
  <c r="E453" i="1" s="1"/>
  <c r="E460" i="1" s="1"/>
  <c r="E467" i="1" s="1"/>
  <c r="E474" i="1" s="1"/>
  <c r="E481" i="1" s="1"/>
  <c r="E488" i="1" s="1"/>
  <c r="E498" i="1" s="1"/>
  <c r="E508" i="1" s="1"/>
  <c r="E518" i="1" s="1"/>
  <c r="E528" i="1" s="1"/>
  <c r="E538" i="1" s="1"/>
  <c r="E548" i="1" s="1"/>
  <c r="E558" i="1" s="1"/>
  <c r="E568" i="1" s="1"/>
  <c r="E578" i="1" s="1"/>
  <c r="E588" i="1" s="1"/>
  <c r="E598" i="1" s="1"/>
  <c r="E608" i="1" s="1"/>
  <c r="E618" i="1" s="1"/>
  <c r="E628" i="1" s="1"/>
  <c r="E637" i="1" s="1"/>
  <c r="E646" i="1" s="1"/>
  <c r="E655" i="1" s="1"/>
  <c r="E664" i="1" s="1"/>
  <c r="E673" i="1" s="1"/>
  <c r="E682" i="1" s="1"/>
  <c r="E691" i="1" s="1"/>
  <c r="E700" i="1" s="1"/>
  <c r="E709" i="1" s="1"/>
  <c r="E718" i="1" s="1"/>
  <c r="E727" i="1" s="1"/>
  <c r="E736" i="1" s="1"/>
  <c r="E745" i="1" s="1"/>
  <c r="E754" i="1" s="1"/>
  <c r="E763" i="1" s="1"/>
  <c r="E772" i="1" s="1"/>
  <c r="E781" i="1" s="1"/>
  <c r="E790" i="1" s="1"/>
  <c r="E799" i="1" s="1"/>
  <c r="E808" i="1" s="1"/>
  <c r="E817" i="1" s="1"/>
  <c r="E826" i="1" s="1"/>
  <c r="E835" i="1" s="1"/>
  <c r="E844" i="1" s="1"/>
  <c r="E853" i="1" s="1"/>
  <c r="E862" i="1" s="1"/>
  <c r="E871" i="1" s="1"/>
  <c r="E880" i="1" s="1"/>
  <c r="E889" i="1" s="1"/>
  <c r="E898" i="1" s="1"/>
  <c r="E907" i="1" s="1"/>
  <c r="E916" i="1" s="1"/>
  <c r="E925" i="1" s="1"/>
  <c r="E934" i="1" s="1"/>
  <c r="E943" i="1" s="1"/>
  <c r="E952" i="1" s="1"/>
  <c r="E961" i="1" s="1"/>
  <c r="E970" i="1" s="1"/>
  <c r="E979" i="1" s="1"/>
  <c r="E988" i="1" s="1"/>
  <c r="E997" i="1" s="1"/>
  <c r="E1006" i="1" s="1"/>
  <c r="E396" i="1"/>
  <c r="E403" i="1" s="1"/>
  <c r="E410" i="1" s="1"/>
  <c r="E417" i="1" s="1"/>
  <c r="E424" i="1" s="1"/>
  <c r="E431" i="1" s="1"/>
  <c r="E438" i="1" s="1"/>
  <c r="E445" i="1" s="1"/>
  <c r="E452" i="1" s="1"/>
  <c r="E459" i="1" s="1"/>
  <c r="E466" i="1" s="1"/>
  <c r="E473" i="1" s="1"/>
  <c r="E480" i="1" s="1"/>
  <c r="E487" i="1" s="1"/>
  <c r="E497" i="1" s="1"/>
  <c r="E507" i="1" s="1"/>
  <c r="E517" i="1" s="1"/>
  <c r="E527" i="1" s="1"/>
  <c r="E537" i="1" s="1"/>
  <c r="E547" i="1" s="1"/>
  <c r="E557" i="1" s="1"/>
  <c r="E567" i="1" s="1"/>
  <c r="E577" i="1" s="1"/>
  <c r="E587" i="1" s="1"/>
  <c r="E597" i="1" s="1"/>
  <c r="E607" i="1" s="1"/>
  <c r="E617" i="1" s="1"/>
  <c r="E627" i="1" s="1"/>
  <c r="E636" i="1" s="1"/>
  <c r="E645" i="1" s="1"/>
  <c r="E654" i="1" s="1"/>
  <c r="E663" i="1" s="1"/>
  <c r="E672" i="1" s="1"/>
  <c r="E681" i="1" s="1"/>
  <c r="E690" i="1" s="1"/>
  <c r="E699" i="1" s="1"/>
  <c r="E708" i="1" s="1"/>
  <c r="E717" i="1" s="1"/>
  <c r="E726" i="1" s="1"/>
  <c r="E735" i="1" s="1"/>
  <c r="E744" i="1" s="1"/>
  <c r="E753" i="1" s="1"/>
  <c r="E762" i="1" s="1"/>
  <c r="E771" i="1" s="1"/>
  <c r="E780" i="1" s="1"/>
  <c r="E789" i="1" s="1"/>
  <c r="E798" i="1" s="1"/>
  <c r="E807" i="1" s="1"/>
  <c r="E816" i="1" s="1"/>
  <c r="E825" i="1" s="1"/>
  <c r="E834" i="1" s="1"/>
  <c r="E843" i="1" s="1"/>
  <c r="E852" i="1" s="1"/>
  <c r="E861" i="1" s="1"/>
  <c r="E870" i="1" s="1"/>
  <c r="E879" i="1" s="1"/>
  <c r="E888" i="1" s="1"/>
  <c r="E897" i="1" s="1"/>
  <c r="E906" i="1" s="1"/>
  <c r="E915" i="1" s="1"/>
  <c r="E924" i="1" s="1"/>
  <c r="E933" i="1" s="1"/>
  <c r="E942" i="1" s="1"/>
  <c r="E951" i="1" s="1"/>
  <c r="E960" i="1" s="1"/>
  <c r="E969" i="1" s="1"/>
  <c r="E978" i="1" s="1"/>
  <c r="E987" i="1" s="1"/>
  <c r="E996" i="1" s="1"/>
  <c r="E1005" i="1" s="1"/>
  <c r="E395" i="1"/>
  <c r="E402" i="1" s="1"/>
  <c r="E409" i="1" s="1"/>
  <c r="E416" i="1" s="1"/>
  <c r="E423" i="1" s="1"/>
  <c r="E430" i="1" s="1"/>
  <c r="E437" i="1" s="1"/>
  <c r="E444" i="1" s="1"/>
  <c r="E451" i="1" s="1"/>
  <c r="E458" i="1" s="1"/>
  <c r="E465" i="1" s="1"/>
  <c r="E472" i="1" s="1"/>
  <c r="E479" i="1" s="1"/>
  <c r="E486" i="1" s="1"/>
  <c r="E496" i="1" s="1"/>
  <c r="E506" i="1" s="1"/>
  <c r="E516" i="1" s="1"/>
  <c r="E526" i="1" s="1"/>
  <c r="E536" i="1" s="1"/>
  <c r="E546" i="1" s="1"/>
  <c r="E556" i="1" s="1"/>
  <c r="E566" i="1" s="1"/>
  <c r="E576" i="1" s="1"/>
  <c r="E586" i="1" s="1"/>
  <c r="E596" i="1" s="1"/>
  <c r="E606" i="1" s="1"/>
  <c r="E616" i="1" s="1"/>
  <c r="E626" i="1" s="1"/>
  <c r="E635" i="1" s="1"/>
  <c r="E644" i="1" s="1"/>
  <c r="E653" i="1" s="1"/>
  <c r="E662" i="1" s="1"/>
  <c r="E671" i="1" s="1"/>
  <c r="E680" i="1" s="1"/>
  <c r="E689" i="1" s="1"/>
  <c r="E698" i="1" s="1"/>
  <c r="E707" i="1" s="1"/>
  <c r="E716" i="1" s="1"/>
  <c r="E725" i="1" s="1"/>
  <c r="E734" i="1" s="1"/>
  <c r="E743" i="1" s="1"/>
  <c r="E752" i="1" s="1"/>
  <c r="E761" i="1" s="1"/>
  <c r="E770" i="1" s="1"/>
  <c r="E779" i="1" s="1"/>
  <c r="E788" i="1" s="1"/>
  <c r="E797" i="1" s="1"/>
  <c r="E806" i="1" s="1"/>
  <c r="E815" i="1" s="1"/>
  <c r="E824" i="1" s="1"/>
  <c r="E833" i="1" s="1"/>
  <c r="E842" i="1" s="1"/>
  <c r="E851" i="1" s="1"/>
  <c r="E860" i="1" s="1"/>
  <c r="E869" i="1" s="1"/>
  <c r="E878" i="1" s="1"/>
  <c r="E887" i="1" s="1"/>
  <c r="E896" i="1" s="1"/>
  <c r="E905" i="1" s="1"/>
  <c r="E914" i="1" s="1"/>
  <c r="E923" i="1" s="1"/>
  <c r="E932" i="1" s="1"/>
  <c r="E941" i="1" s="1"/>
  <c r="E950" i="1" s="1"/>
  <c r="E959" i="1" s="1"/>
  <c r="E968" i="1" s="1"/>
  <c r="E977" i="1" s="1"/>
  <c r="E986" i="1" s="1"/>
  <c r="E995" i="1" s="1"/>
  <c r="E1004" i="1" s="1"/>
  <c r="E394" i="1"/>
  <c r="E401" i="1" s="1"/>
  <c r="E408" i="1" s="1"/>
  <c r="E415" i="1" s="1"/>
  <c r="E422" i="1" s="1"/>
  <c r="E429" i="1" s="1"/>
  <c r="E436" i="1" s="1"/>
  <c r="E443" i="1" s="1"/>
  <c r="E450" i="1" s="1"/>
  <c r="E457" i="1" s="1"/>
  <c r="E464" i="1" s="1"/>
  <c r="E471" i="1" s="1"/>
  <c r="E478" i="1" s="1"/>
  <c r="E485" i="1" s="1"/>
  <c r="E495" i="1" s="1"/>
  <c r="E505" i="1" s="1"/>
  <c r="E515" i="1" s="1"/>
  <c r="E525" i="1" s="1"/>
  <c r="E535" i="1" s="1"/>
  <c r="E545" i="1" s="1"/>
  <c r="E555" i="1" s="1"/>
  <c r="E565" i="1" s="1"/>
  <c r="E575" i="1" s="1"/>
  <c r="E585" i="1" s="1"/>
  <c r="E595" i="1" s="1"/>
  <c r="E605" i="1" s="1"/>
  <c r="E615" i="1" s="1"/>
  <c r="E625" i="1" s="1"/>
  <c r="E634" i="1" s="1"/>
  <c r="E643" i="1" s="1"/>
  <c r="E652" i="1" s="1"/>
  <c r="E661" i="1" s="1"/>
  <c r="E670" i="1" s="1"/>
  <c r="E679" i="1" s="1"/>
  <c r="E688" i="1" s="1"/>
  <c r="E697" i="1" s="1"/>
  <c r="E706" i="1" s="1"/>
  <c r="E715" i="1" s="1"/>
  <c r="E724" i="1" s="1"/>
  <c r="E733" i="1" s="1"/>
  <c r="E742" i="1" s="1"/>
  <c r="E751" i="1" s="1"/>
  <c r="E760" i="1" s="1"/>
  <c r="E769" i="1" s="1"/>
  <c r="E778" i="1" s="1"/>
  <c r="E787" i="1" s="1"/>
  <c r="E796" i="1" s="1"/>
  <c r="E805" i="1" s="1"/>
  <c r="E814" i="1" s="1"/>
  <c r="E823" i="1" s="1"/>
  <c r="E832" i="1" s="1"/>
  <c r="E841" i="1" s="1"/>
  <c r="E850" i="1" s="1"/>
  <c r="E859" i="1" s="1"/>
  <c r="E868" i="1" s="1"/>
  <c r="E877" i="1" s="1"/>
  <c r="E886" i="1" s="1"/>
  <c r="E895" i="1" s="1"/>
  <c r="E904" i="1" s="1"/>
  <c r="E913" i="1" s="1"/>
  <c r="E922" i="1" s="1"/>
  <c r="E931" i="1" s="1"/>
  <c r="E940" i="1" s="1"/>
  <c r="E949" i="1" s="1"/>
  <c r="E958" i="1" s="1"/>
  <c r="E967" i="1" s="1"/>
  <c r="E976" i="1" s="1"/>
  <c r="E985" i="1" s="1"/>
  <c r="E994" i="1" s="1"/>
  <c r="E1003" i="1" s="1"/>
  <c r="C2" i="2"/>
  <c r="C3" i="2"/>
  <c r="C4" i="2"/>
  <c r="C5" i="2"/>
  <c r="C6" i="2"/>
  <c r="C7" i="2"/>
  <c r="C8" i="2"/>
  <c r="B2" i="1"/>
  <c r="C2" i="1"/>
  <c r="B3" i="1"/>
  <c r="B4" i="1"/>
  <c r="B5" i="1"/>
  <c r="B6" i="1"/>
  <c r="E491" i="1" l="1"/>
  <c r="E501" i="1" s="1"/>
  <c r="E511" i="1" s="1"/>
  <c r="E521" i="1" s="1"/>
  <c r="E531" i="1" s="1"/>
  <c r="E541" i="1" s="1"/>
  <c r="E551" i="1" s="1"/>
  <c r="E561" i="1" s="1"/>
  <c r="E571" i="1" s="1"/>
  <c r="E581" i="1" s="1"/>
  <c r="E591" i="1" s="1"/>
  <c r="E601" i="1" s="1"/>
  <c r="E611" i="1" s="1"/>
  <c r="E621" i="1" s="1"/>
  <c r="E631" i="1" s="1"/>
  <c r="E640" i="1" s="1"/>
  <c r="E649" i="1" s="1"/>
  <c r="E658" i="1" s="1"/>
  <c r="E667" i="1" s="1"/>
  <c r="E676" i="1" s="1"/>
  <c r="E685" i="1" s="1"/>
  <c r="E694" i="1" s="1"/>
  <c r="E703" i="1" s="1"/>
  <c r="E712" i="1" s="1"/>
  <c r="E721" i="1" s="1"/>
  <c r="E730" i="1" s="1"/>
  <c r="E739" i="1" s="1"/>
  <c r="E748" i="1" s="1"/>
  <c r="E757" i="1" s="1"/>
  <c r="E766" i="1" s="1"/>
  <c r="E775" i="1" s="1"/>
  <c r="E784" i="1" s="1"/>
  <c r="E793" i="1" s="1"/>
  <c r="E802" i="1" s="1"/>
  <c r="E811" i="1" s="1"/>
  <c r="E820" i="1" s="1"/>
  <c r="E829" i="1" s="1"/>
  <c r="E838" i="1" s="1"/>
  <c r="E847" i="1" s="1"/>
  <c r="E856" i="1" s="1"/>
  <c r="E865" i="1" s="1"/>
  <c r="E874" i="1" s="1"/>
  <c r="E883" i="1" s="1"/>
  <c r="E892" i="1" s="1"/>
  <c r="E901" i="1" s="1"/>
  <c r="E910" i="1" s="1"/>
  <c r="E919" i="1" s="1"/>
  <c r="E928" i="1" s="1"/>
  <c r="E937" i="1" s="1"/>
  <c r="E946" i="1" s="1"/>
  <c r="E955" i="1" s="1"/>
  <c r="E964" i="1" s="1"/>
  <c r="E973" i="1" s="1"/>
  <c r="E982" i="1" s="1"/>
  <c r="E991" i="1" s="1"/>
  <c r="E1000" i="1" s="1"/>
  <c r="E1009" i="1" s="1"/>
  <c r="E494" i="1"/>
  <c r="E504" i="1" s="1"/>
  <c r="E514" i="1" s="1"/>
  <c r="E524" i="1" s="1"/>
  <c r="E534" i="1" s="1"/>
  <c r="E544" i="1" s="1"/>
  <c r="E554" i="1" s="1"/>
  <c r="E564" i="1" s="1"/>
  <c r="E574" i="1" s="1"/>
  <c r="E584" i="1" s="1"/>
  <c r="E594" i="1" s="1"/>
  <c r="E604" i="1" s="1"/>
  <c r="E614" i="1" s="1"/>
  <c r="E624" i="1" s="1"/>
  <c r="E633" i="1" s="1"/>
  <c r="E642" i="1" s="1"/>
  <c r="E651" i="1" s="1"/>
  <c r="E660" i="1" s="1"/>
  <c r="E669" i="1" s="1"/>
  <c r="E678" i="1" s="1"/>
  <c r="E687" i="1" s="1"/>
  <c r="E696" i="1" s="1"/>
  <c r="E705" i="1" s="1"/>
  <c r="E714" i="1" s="1"/>
  <c r="E723" i="1" s="1"/>
  <c r="E732" i="1" s="1"/>
  <c r="E741" i="1" s="1"/>
  <c r="E750" i="1" s="1"/>
  <c r="E759" i="1" s="1"/>
  <c r="E768" i="1" s="1"/>
  <c r="E777" i="1" s="1"/>
  <c r="E786" i="1" s="1"/>
  <c r="E795" i="1" s="1"/>
  <c r="E804" i="1" s="1"/>
  <c r="E813" i="1" s="1"/>
  <c r="E822" i="1" s="1"/>
  <c r="E831" i="1" s="1"/>
  <c r="E840" i="1" s="1"/>
  <c r="E849" i="1" s="1"/>
  <c r="E858" i="1" s="1"/>
  <c r="E867" i="1" s="1"/>
  <c r="E876" i="1" s="1"/>
  <c r="E885" i="1" s="1"/>
  <c r="E894" i="1" s="1"/>
  <c r="E903" i="1" s="1"/>
  <c r="E912" i="1" s="1"/>
  <c r="E921" i="1" s="1"/>
  <c r="E930" i="1" s="1"/>
  <c r="E939" i="1" s="1"/>
  <c r="E948" i="1" s="1"/>
  <c r="E957" i="1" s="1"/>
  <c r="E966" i="1" s="1"/>
  <c r="E975" i="1" s="1"/>
  <c r="E984" i="1" s="1"/>
  <c r="E993" i="1" s="1"/>
  <c r="E1002" i="1" s="1"/>
  <c r="E489" i="1"/>
  <c r="E499" i="1" s="1"/>
  <c r="E509" i="1" s="1"/>
  <c r="E519" i="1" s="1"/>
  <c r="E529" i="1" s="1"/>
  <c r="E539" i="1" s="1"/>
  <c r="E549" i="1" s="1"/>
  <c r="E559" i="1" s="1"/>
  <c r="E569" i="1" s="1"/>
  <c r="E579" i="1" s="1"/>
  <c r="E589" i="1" s="1"/>
  <c r="E599" i="1" s="1"/>
  <c r="E609" i="1" s="1"/>
  <c r="E619" i="1" s="1"/>
  <c r="E629" i="1" s="1"/>
  <c r="E638" i="1" s="1"/>
  <c r="E647" i="1" s="1"/>
  <c r="E656" i="1" s="1"/>
  <c r="E665" i="1" s="1"/>
  <c r="E674" i="1" s="1"/>
  <c r="E683" i="1" s="1"/>
  <c r="E692" i="1" s="1"/>
  <c r="E701" i="1" s="1"/>
  <c r="E710" i="1" s="1"/>
  <c r="E719" i="1" s="1"/>
  <c r="E728" i="1" s="1"/>
  <c r="E737" i="1" s="1"/>
  <c r="E746" i="1" s="1"/>
  <c r="E755" i="1" s="1"/>
  <c r="E764" i="1" s="1"/>
  <c r="E773" i="1" s="1"/>
  <c r="E782" i="1" s="1"/>
  <c r="E791" i="1" s="1"/>
  <c r="E800" i="1" s="1"/>
  <c r="E809" i="1" s="1"/>
  <c r="E818" i="1" s="1"/>
  <c r="E827" i="1" s="1"/>
  <c r="E836" i="1" s="1"/>
  <c r="E845" i="1" s="1"/>
  <c r="E854" i="1" s="1"/>
  <c r="E863" i="1" s="1"/>
  <c r="E872" i="1" s="1"/>
  <c r="E881" i="1" s="1"/>
  <c r="E890" i="1" s="1"/>
  <c r="E899" i="1" s="1"/>
  <c r="E908" i="1" s="1"/>
  <c r="E917" i="1" s="1"/>
  <c r="E926" i="1" s="1"/>
  <c r="E935" i="1" s="1"/>
  <c r="E944" i="1" s="1"/>
  <c r="E953" i="1" s="1"/>
  <c r="E962" i="1" s="1"/>
  <c r="E971" i="1" s="1"/>
  <c r="E980" i="1" s="1"/>
  <c r="E989" i="1" s="1"/>
  <c r="E998" i="1" s="1"/>
  <c r="E1007" i="1" s="1"/>
  <c r="E492" i="1"/>
  <c r="E502" i="1" s="1"/>
  <c r="E512" i="1" s="1"/>
  <c r="E522" i="1" s="1"/>
  <c r="E532" i="1" s="1"/>
  <c r="E542" i="1" s="1"/>
  <c r="E552" i="1" s="1"/>
  <c r="E562" i="1" s="1"/>
  <c r="E572" i="1" s="1"/>
  <c r="E582" i="1" s="1"/>
  <c r="E592" i="1" s="1"/>
  <c r="E602" i="1" s="1"/>
  <c r="E612" i="1" s="1"/>
  <c r="E622" i="1" s="1"/>
  <c r="E490" i="1"/>
  <c r="E500" i="1" s="1"/>
  <c r="E510" i="1" s="1"/>
  <c r="E520" i="1" s="1"/>
  <c r="E530" i="1" s="1"/>
  <c r="E540" i="1" s="1"/>
  <c r="E550" i="1" s="1"/>
  <c r="E560" i="1" s="1"/>
  <c r="E570" i="1" s="1"/>
  <c r="E580" i="1" s="1"/>
  <c r="E590" i="1" s="1"/>
  <c r="E600" i="1" s="1"/>
  <c r="E610" i="1" s="1"/>
  <c r="E620" i="1" s="1"/>
  <c r="E630" i="1" s="1"/>
  <c r="E639" i="1" s="1"/>
  <c r="E648" i="1" s="1"/>
  <c r="E657" i="1" s="1"/>
  <c r="E666" i="1" s="1"/>
  <c r="E675" i="1" s="1"/>
  <c r="E684" i="1" s="1"/>
  <c r="E693" i="1" s="1"/>
  <c r="E702" i="1" s="1"/>
  <c r="E711" i="1" s="1"/>
  <c r="E720" i="1" s="1"/>
  <c r="E729" i="1" s="1"/>
  <c r="E738" i="1" s="1"/>
  <c r="E747" i="1" s="1"/>
  <c r="E756" i="1" s="1"/>
  <c r="E765" i="1" s="1"/>
  <c r="E774" i="1" s="1"/>
  <c r="E783" i="1" s="1"/>
  <c r="E792" i="1" s="1"/>
  <c r="E801" i="1" s="1"/>
  <c r="E810" i="1" s="1"/>
  <c r="E819" i="1" s="1"/>
  <c r="E828" i="1" s="1"/>
  <c r="E837" i="1" s="1"/>
  <c r="E846" i="1" s="1"/>
  <c r="E855" i="1" s="1"/>
  <c r="E864" i="1" s="1"/>
  <c r="E873" i="1" s="1"/>
  <c r="E882" i="1" s="1"/>
  <c r="E891" i="1" s="1"/>
  <c r="E900" i="1" s="1"/>
  <c r="E909" i="1" s="1"/>
  <c r="E918" i="1" s="1"/>
  <c r="E927" i="1" s="1"/>
  <c r="E936" i="1" s="1"/>
  <c r="E945" i="1" s="1"/>
  <c r="E954" i="1" s="1"/>
  <c r="E963" i="1" s="1"/>
  <c r="E972" i="1" s="1"/>
  <c r="E981" i="1" s="1"/>
  <c r="E990" i="1" s="1"/>
  <c r="E999" i="1" s="1"/>
  <c r="E1008" i="1" s="1"/>
  <c r="E493" i="1"/>
  <c r="E503" i="1" s="1"/>
  <c r="E513" i="1" s="1"/>
  <c r="E523" i="1" s="1"/>
  <c r="E533" i="1" s="1"/>
  <c r="E543" i="1" s="1"/>
  <c r="E553" i="1" s="1"/>
  <c r="E563" i="1" s="1"/>
  <c r="E573" i="1" s="1"/>
  <c r="E583" i="1" s="1"/>
  <c r="E593" i="1" s="1"/>
  <c r="E603" i="1" s="1"/>
  <c r="E613" i="1" s="1"/>
  <c r="E623" i="1" s="1"/>
  <c r="E632" i="1" s="1"/>
  <c r="E641" i="1" s="1"/>
  <c r="E650" i="1" s="1"/>
  <c r="E659" i="1" s="1"/>
  <c r="E668" i="1" s="1"/>
  <c r="E677" i="1" s="1"/>
  <c r="E686" i="1" s="1"/>
  <c r="E695" i="1" s="1"/>
  <c r="E704" i="1" s="1"/>
  <c r="E713" i="1" s="1"/>
  <c r="E722" i="1" s="1"/>
  <c r="E731" i="1" s="1"/>
  <c r="E740" i="1" s="1"/>
  <c r="E749" i="1" s="1"/>
  <c r="B103" i="1"/>
  <c r="C103" i="1"/>
  <c r="B98" i="1"/>
  <c r="C98" i="1"/>
  <c r="B93" i="1"/>
  <c r="C93" i="1"/>
  <c r="B88" i="1"/>
  <c r="C88" i="1"/>
  <c r="B83" i="1"/>
  <c r="C83" i="1"/>
  <c r="B78" i="1"/>
  <c r="C78" i="1"/>
  <c r="B73" i="1"/>
  <c r="C73" i="1"/>
  <c r="B68" i="1"/>
  <c r="C68" i="1"/>
  <c r="B63" i="1"/>
  <c r="C63" i="1"/>
  <c r="B58" i="1"/>
  <c r="C58" i="1"/>
  <c r="B53" i="1"/>
  <c r="C53" i="1"/>
  <c r="B48" i="1"/>
  <c r="C48" i="1"/>
  <c r="B43" i="1"/>
  <c r="C43" i="1"/>
  <c r="B38" i="1"/>
  <c r="C38" i="1"/>
  <c r="B33" i="1"/>
  <c r="C33" i="1"/>
  <c r="B28" i="1"/>
  <c r="C28" i="1"/>
  <c r="B23" i="1"/>
  <c r="C23" i="1"/>
  <c r="E23" i="1"/>
  <c r="E28" i="1" s="1"/>
  <c r="E33" i="1" s="1"/>
  <c r="E38" i="1" s="1"/>
  <c r="E43" i="1" s="1"/>
  <c r="E48" i="1" s="1"/>
  <c r="E53" i="1" s="1"/>
  <c r="E58" i="1" s="1"/>
  <c r="E63" i="1" s="1"/>
  <c r="E68" i="1" s="1"/>
  <c r="E73" i="1" s="1"/>
  <c r="E78" i="1" s="1"/>
  <c r="E83" i="1" s="1"/>
  <c r="E88" i="1" s="1"/>
  <c r="E93" i="1" s="1"/>
  <c r="E98" i="1" s="1"/>
  <c r="E103" i="1" s="1"/>
  <c r="B18" i="1"/>
  <c r="C18" i="1"/>
  <c r="B13" i="1"/>
  <c r="C13" i="1"/>
  <c r="B8" i="1"/>
  <c r="C8" i="1"/>
  <c r="E8" i="1"/>
  <c r="E13" i="1" s="1"/>
  <c r="C21" i="12"/>
  <c r="C22" i="12"/>
  <c r="C23" i="12"/>
  <c r="C24" i="12"/>
  <c r="C25" i="12"/>
  <c r="C26" i="12"/>
  <c r="C27" i="12"/>
  <c r="C28" i="12"/>
  <c r="C29" i="12"/>
  <c r="C30" i="12"/>
  <c r="C31" i="12"/>
  <c r="C32" i="12"/>
  <c r="C33" i="12"/>
  <c r="C34" i="12"/>
  <c r="C35" i="12"/>
  <c r="C36" i="12"/>
  <c r="C37" i="12"/>
  <c r="C38" i="12"/>
  <c r="C39" i="12"/>
  <c r="C40" i="12"/>
  <c r="C41" i="12"/>
  <c r="C42" i="12"/>
  <c r="C43" i="12"/>
  <c r="C44" i="12"/>
  <c r="C45" i="12"/>
  <c r="C46" i="12"/>
  <c r="C47" i="12"/>
  <c r="C48" i="12"/>
  <c r="C49" i="12"/>
  <c r="C50" i="12"/>
  <c r="C51" i="12"/>
  <c r="C52" i="12"/>
  <c r="C53" i="12"/>
  <c r="C54" i="12"/>
  <c r="C55" i="12"/>
  <c r="C56" i="12"/>
  <c r="C57" i="12"/>
  <c r="C58" i="12"/>
  <c r="C59" i="12"/>
  <c r="C60" i="12"/>
  <c r="C61" i="12"/>
  <c r="C62" i="12"/>
  <c r="C63" i="12"/>
  <c r="C64" i="12"/>
  <c r="C65" i="12"/>
  <c r="C66" i="12"/>
  <c r="C67" i="12"/>
  <c r="C68" i="12"/>
  <c r="C69" i="12"/>
  <c r="C70" i="12"/>
  <c r="C71" i="12"/>
  <c r="C72" i="12"/>
  <c r="C73" i="12"/>
  <c r="C74" i="12"/>
  <c r="C75" i="12"/>
  <c r="C76" i="12"/>
  <c r="C77" i="12"/>
  <c r="C78" i="12"/>
  <c r="C79" i="12"/>
  <c r="C80" i="12"/>
  <c r="C81" i="12"/>
  <c r="C82" i="12"/>
  <c r="C83" i="12"/>
  <c r="C84" i="12"/>
  <c r="C85" i="12"/>
  <c r="C86" i="12"/>
  <c r="C87" i="12"/>
  <c r="C88" i="12"/>
  <c r="C89" i="12"/>
  <c r="C90" i="12"/>
  <c r="C91" i="12"/>
  <c r="C92" i="12"/>
  <c r="C93" i="12"/>
  <c r="C94" i="12"/>
  <c r="C95" i="12"/>
  <c r="C96" i="12"/>
  <c r="C97" i="12"/>
  <c r="C98" i="12"/>
  <c r="C99" i="12"/>
  <c r="C100" i="12"/>
  <c r="C101" i="12"/>
  <c r="C102" i="12"/>
  <c r="C103" i="12"/>
  <c r="C104" i="12"/>
  <c r="C105" i="12"/>
  <c r="C106" i="12"/>
  <c r="C107" i="12"/>
  <c r="C108" i="12"/>
  <c r="C109" i="12"/>
  <c r="C110" i="12"/>
  <c r="C111" i="12"/>
  <c r="C112" i="12"/>
  <c r="C113" i="12"/>
  <c r="C114" i="12"/>
  <c r="C115" i="12"/>
  <c r="C116" i="12"/>
  <c r="C117" i="12"/>
  <c r="C118" i="12"/>
  <c r="C119" i="12"/>
  <c r="C120" i="12"/>
  <c r="C121" i="12"/>
  <c r="C122" i="12"/>
  <c r="C123" i="12"/>
  <c r="C124" i="12"/>
  <c r="C125" i="12"/>
  <c r="C126" i="12"/>
  <c r="C127" i="12"/>
  <c r="C128" i="12"/>
  <c r="C129" i="12"/>
  <c r="C130" i="12"/>
  <c r="C131" i="12"/>
  <c r="C132" i="12"/>
  <c r="C133" i="12"/>
  <c r="C134" i="12"/>
  <c r="C135" i="12"/>
  <c r="C136" i="12"/>
  <c r="C20" i="12"/>
  <c r="B21" i="12"/>
  <c r="B30" i="12" s="1"/>
  <c r="B39" i="12" s="1"/>
  <c r="B48" i="12" s="1"/>
  <c r="B57" i="12" s="1"/>
  <c r="B66" i="12" s="1"/>
  <c r="B75" i="12" s="1"/>
  <c r="B84" i="12" s="1"/>
  <c r="B93" i="12" s="1"/>
  <c r="B102" i="12" s="1"/>
  <c r="B111" i="12" s="1"/>
  <c r="B120" i="12" s="1"/>
  <c r="B129" i="12" s="1"/>
  <c r="B22" i="12"/>
  <c r="B31" i="12" s="1"/>
  <c r="B40" i="12" s="1"/>
  <c r="B49" i="12" s="1"/>
  <c r="B58" i="12" s="1"/>
  <c r="B67" i="12" s="1"/>
  <c r="B76" i="12" s="1"/>
  <c r="B85" i="12" s="1"/>
  <c r="B94" i="12" s="1"/>
  <c r="B103" i="12" s="1"/>
  <c r="B112" i="12" s="1"/>
  <c r="B121" i="12" s="1"/>
  <c r="B130" i="12" s="1"/>
  <c r="B23" i="12"/>
  <c r="B32" i="12" s="1"/>
  <c r="B41" i="12" s="1"/>
  <c r="B50" i="12" s="1"/>
  <c r="B59" i="12" s="1"/>
  <c r="B68" i="12" s="1"/>
  <c r="B77" i="12" s="1"/>
  <c r="B86" i="12" s="1"/>
  <c r="B95" i="12" s="1"/>
  <c r="B104" i="12" s="1"/>
  <c r="B113" i="12" s="1"/>
  <c r="B122" i="12" s="1"/>
  <c r="B131" i="12" s="1"/>
  <c r="B24" i="12"/>
  <c r="B33" i="12" s="1"/>
  <c r="B42" i="12" s="1"/>
  <c r="B51" i="12" s="1"/>
  <c r="B60" i="12" s="1"/>
  <c r="B69" i="12" s="1"/>
  <c r="B78" i="12" s="1"/>
  <c r="B87" i="12" s="1"/>
  <c r="B96" i="12" s="1"/>
  <c r="B105" i="12" s="1"/>
  <c r="B114" i="12" s="1"/>
  <c r="B123" i="12" s="1"/>
  <c r="B132" i="12" s="1"/>
  <c r="B25" i="12"/>
  <c r="B34" i="12" s="1"/>
  <c r="B43" i="12" s="1"/>
  <c r="B52" i="12" s="1"/>
  <c r="B61" i="12" s="1"/>
  <c r="B70" i="12" s="1"/>
  <c r="B79" i="12" s="1"/>
  <c r="B88" i="12" s="1"/>
  <c r="B97" i="12" s="1"/>
  <c r="B106" i="12" s="1"/>
  <c r="B115" i="12" s="1"/>
  <c r="B124" i="12" s="1"/>
  <c r="B133" i="12" s="1"/>
  <c r="B26" i="12"/>
  <c r="B35" i="12" s="1"/>
  <c r="B44" i="12" s="1"/>
  <c r="B53" i="12" s="1"/>
  <c r="B62" i="12" s="1"/>
  <c r="B71" i="12" s="1"/>
  <c r="B80" i="12" s="1"/>
  <c r="B89" i="12" s="1"/>
  <c r="B98" i="12" s="1"/>
  <c r="B107" i="12" s="1"/>
  <c r="B116" i="12" s="1"/>
  <c r="B125" i="12" s="1"/>
  <c r="B134" i="12" s="1"/>
  <c r="B27" i="12"/>
  <c r="B36" i="12" s="1"/>
  <c r="B45" i="12" s="1"/>
  <c r="B54" i="12" s="1"/>
  <c r="B63" i="12" s="1"/>
  <c r="B72" i="12" s="1"/>
  <c r="B81" i="12" s="1"/>
  <c r="B90" i="12" s="1"/>
  <c r="B99" i="12" s="1"/>
  <c r="B108" i="12" s="1"/>
  <c r="B117" i="12" s="1"/>
  <c r="B126" i="12" s="1"/>
  <c r="B135" i="12" s="1"/>
  <c r="B28" i="12"/>
  <c r="B37" i="12" s="1"/>
  <c r="B46" i="12" s="1"/>
  <c r="B55" i="12" s="1"/>
  <c r="B64" i="12" s="1"/>
  <c r="B73" i="12" s="1"/>
  <c r="B82" i="12" s="1"/>
  <c r="B91" i="12" s="1"/>
  <c r="B100" i="12" s="1"/>
  <c r="B109" i="12" s="1"/>
  <c r="B118" i="12" s="1"/>
  <c r="B127" i="12" s="1"/>
  <c r="B136" i="12" s="1"/>
  <c r="B20" i="12"/>
  <c r="B29" i="12" s="1"/>
  <c r="B38" i="12" s="1"/>
  <c r="B47" i="12" s="1"/>
  <c r="B56" i="12" s="1"/>
  <c r="B65" i="12" s="1"/>
  <c r="B74" i="12" s="1"/>
  <c r="B83" i="12" s="1"/>
  <c r="B92" i="12" s="1"/>
  <c r="B101" i="12" s="1"/>
  <c r="B110" i="12" s="1"/>
  <c r="B119" i="12" s="1"/>
  <c r="B128" i="12" s="1"/>
  <c r="E19" i="12"/>
  <c r="E28" i="12" s="1"/>
  <c r="E37" i="12" s="1"/>
  <c r="E46" i="12" s="1"/>
  <c r="E55" i="12" s="1"/>
  <c r="E64" i="12" s="1"/>
  <c r="E73" i="12" s="1"/>
  <c r="E82" i="12" s="1"/>
  <c r="E91" i="12" s="1"/>
  <c r="E100" i="12" s="1"/>
  <c r="E109" i="12" s="1"/>
  <c r="E118" i="12" s="1"/>
  <c r="E127" i="12" s="1"/>
  <c r="E136" i="12" s="1"/>
  <c r="E12" i="12"/>
  <c r="E21" i="12" s="1"/>
  <c r="E30" i="12" s="1"/>
  <c r="E39" i="12" s="1"/>
  <c r="E48" i="12" s="1"/>
  <c r="E57" i="12" s="1"/>
  <c r="E66" i="12" s="1"/>
  <c r="E75" i="12" s="1"/>
  <c r="E84" i="12" s="1"/>
  <c r="E93" i="12" s="1"/>
  <c r="E102" i="12" s="1"/>
  <c r="E111" i="12" s="1"/>
  <c r="E120" i="12" s="1"/>
  <c r="E129" i="12" s="1"/>
  <c r="E13" i="12"/>
  <c r="E22" i="12" s="1"/>
  <c r="E31" i="12" s="1"/>
  <c r="E40" i="12" s="1"/>
  <c r="E49" i="12" s="1"/>
  <c r="E58" i="12" s="1"/>
  <c r="E67" i="12" s="1"/>
  <c r="E76" i="12" s="1"/>
  <c r="E85" i="12" s="1"/>
  <c r="E94" i="12" s="1"/>
  <c r="E103" i="12" s="1"/>
  <c r="E112" i="12" s="1"/>
  <c r="E121" i="12" s="1"/>
  <c r="E130" i="12" s="1"/>
  <c r="E14" i="12"/>
  <c r="E23" i="12" s="1"/>
  <c r="E32" i="12" s="1"/>
  <c r="E41" i="12" s="1"/>
  <c r="E50" i="12" s="1"/>
  <c r="E59" i="12" s="1"/>
  <c r="E68" i="12" s="1"/>
  <c r="E77" i="12" s="1"/>
  <c r="E86" i="12" s="1"/>
  <c r="E95" i="12" s="1"/>
  <c r="E104" i="12" s="1"/>
  <c r="E113" i="12" s="1"/>
  <c r="E122" i="12" s="1"/>
  <c r="E131" i="12" s="1"/>
  <c r="E15" i="12"/>
  <c r="E24" i="12" s="1"/>
  <c r="E33" i="12" s="1"/>
  <c r="E42" i="12" s="1"/>
  <c r="E51" i="12" s="1"/>
  <c r="E60" i="12" s="1"/>
  <c r="E69" i="12" s="1"/>
  <c r="E78" i="12" s="1"/>
  <c r="E87" i="12" s="1"/>
  <c r="E96" i="12" s="1"/>
  <c r="E105" i="12" s="1"/>
  <c r="E114" i="12" s="1"/>
  <c r="E123" i="12" s="1"/>
  <c r="E132" i="12" s="1"/>
  <c r="E16" i="12"/>
  <c r="E25" i="12" s="1"/>
  <c r="E34" i="12" s="1"/>
  <c r="E43" i="12" s="1"/>
  <c r="E52" i="12" s="1"/>
  <c r="E61" i="12" s="1"/>
  <c r="E70" i="12" s="1"/>
  <c r="E79" i="12" s="1"/>
  <c r="E88" i="12" s="1"/>
  <c r="E97" i="12" s="1"/>
  <c r="E106" i="12" s="1"/>
  <c r="E115" i="12" s="1"/>
  <c r="E124" i="12" s="1"/>
  <c r="E133" i="12" s="1"/>
  <c r="E17" i="12"/>
  <c r="E26" i="12" s="1"/>
  <c r="E35" i="12" s="1"/>
  <c r="E44" i="12" s="1"/>
  <c r="E53" i="12" s="1"/>
  <c r="E62" i="12" s="1"/>
  <c r="E71" i="12" s="1"/>
  <c r="E80" i="12" s="1"/>
  <c r="E89" i="12" s="1"/>
  <c r="E98" i="12" s="1"/>
  <c r="E107" i="12" s="1"/>
  <c r="E116" i="12" s="1"/>
  <c r="E125" i="12" s="1"/>
  <c r="E134" i="12" s="1"/>
  <c r="E18" i="12"/>
  <c r="E27" i="12" s="1"/>
  <c r="E36" i="12" s="1"/>
  <c r="E45" i="12" s="1"/>
  <c r="E54" i="12" s="1"/>
  <c r="E63" i="12" s="1"/>
  <c r="E72" i="12" s="1"/>
  <c r="E81" i="12" s="1"/>
  <c r="E90" i="12" s="1"/>
  <c r="E99" i="12" s="1"/>
  <c r="E108" i="12" s="1"/>
  <c r="E117" i="12" s="1"/>
  <c r="E126" i="12" s="1"/>
  <c r="E135" i="12" s="1"/>
  <c r="E11" i="12"/>
  <c r="E20" i="12" s="1"/>
  <c r="E29" i="12" s="1"/>
  <c r="E38" i="12" s="1"/>
  <c r="E47" i="12" s="1"/>
  <c r="E56" i="12" s="1"/>
  <c r="E65" i="12" s="1"/>
  <c r="E74" i="12" s="1"/>
  <c r="E83" i="12" s="1"/>
  <c r="E92" i="12" s="1"/>
  <c r="E101" i="12" s="1"/>
  <c r="E110" i="12" s="1"/>
  <c r="E119" i="12" s="1"/>
  <c r="E128" i="12" s="1"/>
  <c r="C109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20" i="10"/>
  <c r="B21" i="10"/>
  <c r="B30" i="10" s="1"/>
  <c r="B39" i="10" s="1"/>
  <c r="B48" i="10" s="1"/>
  <c r="B57" i="10" s="1"/>
  <c r="B66" i="10" s="1"/>
  <c r="B75" i="10" s="1"/>
  <c r="B84" i="10" s="1"/>
  <c r="B93" i="10" s="1"/>
  <c r="B102" i="10" s="1"/>
  <c r="B111" i="10" s="1"/>
  <c r="B120" i="10" s="1"/>
  <c r="B129" i="10" s="1"/>
  <c r="B22" i="10"/>
  <c r="B23" i="10"/>
  <c r="B32" i="10" s="1"/>
  <c r="B41" i="10" s="1"/>
  <c r="B50" i="10" s="1"/>
  <c r="B59" i="10" s="1"/>
  <c r="B68" i="10" s="1"/>
  <c r="B77" i="10" s="1"/>
  <c r="B86" i="10" s="1"/>
  <c r="B95" i="10" s="1"/>
  <c r="B104" i="10" s="1"/>
  <c r="B113" i="10" s="1"/>
  <c r="B122" i="10" s="1"/>
  <c r="B131" i="10" s="1"/>
  <c r="B24" i="10"/>
  <c r="B33" i="10" s="1"/>
  <c r="B42" i="10" s="1"/>
  <c r="B51" i="10" s="1"/>
  <c r="B60" i="10" s="1"/>
  <c r="B69" i="10" s="1"/>
  <c r="B78" i="10" s="1"/>
  <c r="B87" i="10" s="1"/>
  <c r="B96" i="10" s="1"/>
  <c r="B105" i="10" s="1"/>
  <c r="B114" i="10" s="1"/>
  <c r="B123" i="10" s="1"/>
  <c r="B132" i="10" s="1"/>
  <c r="B25" i="10"/>
  <c r="B34" i="10" s="1"/>
  <c r="B43" i="10" s="1"/>
  <c r="B52" i="10" s="1"/>
  <c r="B61" i="10" s="1"/>
  <c r="B70" i="10" s="1"/>
  <c r="B79" i="10" s="1"/>
  <c r="B88" i="10" s="1"/>
  <c r="B97" i="10" s="1"/>
  <c r="B106" i="10" s="1"/>
  <c r="B115" i="10" s="1"/>
  <c r="B124" i="10" s="1"/>
  <c r="B133" i="10" s="1"/>
  <c r="B26" i="10"/>
  <c r="B35" i="10" s="1"/>
  <c r="B44" i="10" s="1"/>
  <c r="B53" i="10" s="1"/>
  <c r="B62" i="10" s="1"/>
  <c r="B71" i="10" s="1"/>
  <c r="B80" i="10" s="1"/>
  <c r="B89" i="10" s="1"/>
  <c r="B98" i="10" s="1"/>
  <c r="B107" i="10" s="1"/>
  <c r="B116" i="10" s="1"/>
  <c r="B125" i="10" s="1"/>
  <c r="B134" i="10" s="1"/>
  <c r="B27" i="10"/>
  <c r="B36" i="10" s="1"/>
  <c r="B45" i="10" s="1"/>
  <c r="B54" i="10" s="1"/>
  <c r="B63" i="10" s="1"/>
  <c r="B72" i="10" s="1"/>
  <c r="B81" i="10" s="1"/>
  <c r="B90" i="10" s="1"/>
  <c r="B99" i="10" s="1"/>
  <c r="B108" i="10" s="1"/>
  <c r="B117" i="10" s="1"/>
  <c r="B126" i="10" s="1"/>
  <c r="B135" i="10" s="1"/>
  <c r="B28" i="10"/>
  <c r="B37" i="10" s="1"/>
  <c r="B46" i="10" s="1"/>
  <c r="B55" i="10" s="1"/>
  <c r="B64" i="10" s="1"/>
  <c r="B73" i="10" s="1"/>
  <c r="B82" i="10" s="1"/>
  <c r="B91" i="10" s="1"/>
  <c r="B100" i="10" s="1"/>
  <c r="B31" i="10"/>
  <c r="B40" i="10" s="1"/>
  <c r="B49" i="10" s="1"/>
  <c r="B58" i="10" s="1"/>
  <c r="B67" i="10" s="1"/>
  <c r="B76" i="10" s="1"/>
  <c r="B85" i="10" s="1"/>
  <c r="B94" i="10" s="1"/>
  <c r="B103" i="10" s="1"/>
  <c r="B112" i="10" s="1"/>
  <c r="B121" i="10" s="1"/>
  <c r="B130" i="10" s="1"/>
  <c r="B20" i="10"/>
  <c r="B29" i="10" s="1"/>
  <c r="B38" i="10" s="1"/>
  <c r="B47" i="10" s="1"/>
  <c r="B56" i="10" s="1"/>
  <c r="B65" i="10" s="1"/>
  <c r="B74" i="10" s="1"/>
  <c r="B83" i="10" s="1"/>
  <c r="B92" i="10" s="1"/>
  <c r="B101" i="10" s="1"/>
  <c r="B110" i="10" s="1"/>
  <c r="B119" i="10" s="1"/>
  <c r="B128" i="10" s="1"/>
  <c r="E20" i="10"/>
  <c r="E29" i="10" s="1"/>
  <c r="E38" i="10" s="1"/>
  <c r="E47" i="10" s="1"/>
  <c r="E56" i="10" s="1"/>
  <c r="E65" i="10" s="1"/>
  <c r="E74" i="10" s="1"/>
  <c r="E83" i="10" s="1"/>
  <c r="E92" i="10" s="1"/>
  <c r="E101" i="10" s="1"/>
  <c r="E110" i="10" s="1"/>
  <c r="E119" i="10" s="1"/>
  <c r="E128" i="10" s="1"/>
  <c r="E13" i="10"/>
  <c r="E22" i="10" s="1"/>
  <c r="E31" i="10" s="1"/>
  <c r="E40" i="10" s="1"/>
  <c r="E49" i="10" s="1"/>
  <c r="E58" i="10" s="1"/>
  <c r="E67" i="10" s="1"/>
  <c r="E76" i="10" s="1"/>
  <c r="E85" i="10" s="1"/>
  <c r="E94" i="10" s="1"/>
  <c r="E103" i="10" s="1"/>
  <c r="E112" i="10" s="1"/>
  <c r="E121" i="10" s="1"/>
  <c r="E130" i="10" s="1"/>
  <c r="E14" i="10"/>
  <c r="E23" i="10" s="1"/>
  <c r="E32" i="10" s="1"/>
  <c r="E41" i="10" s="1"/>
  <c r="E50" i="10" s="1"/>
  <c r="E59" i="10" s="1"/>
  <c r="E68" i="10" s="1"/>
  <c r="E77" i="10" s="1"/>
  <c r="E86" i="10" s="1"/>
  <c r="E95" i="10" s="1"/>
  <c r="E104" i="10" s="1"/>
  <c r="E113" i="10" s="1"/>
  <c r="E122" i="10" s="1"/>
  <c r="E131" i="10" s="1"/>
  <c r="E15" i="10"/>
  <c r="E24" i="10" s="1"/>
  <c r="E33" i="10" s="1"/>
  <c r="E42" i="10" s="1"/>
  <c r="E51" i="10" s="1"/>
  <c r="E60" i="10" s="1"/>
  <c r="E69" i="10" s="1"/>
  <c r="E78" i="10" s="1"/>
  <c r="E87" i="10" s="1"/>
  <c r="E96" i="10" s="1"/>
  <c r="E105" i="10" s="1"/>
  <c r="E114" i="10" s="1"/>
  <c r="E123" i="10" s="1"/>
  <c r="E132" i="10" s="1"/>
  <c r="E16" i="10"/>
  <c r="E25" i="10" s="1"/>
  <c r="E34" i="10" s="1"/>
  <c r="E43" i="10" s="1"/>
  <c r="E52" i="10" s="1"/>
  <c r="E61" i="10" s="1"/>
  <c r="E70" i="10" s="1"/>
  <c r="E79" i="10" s="1"/>
  <c r="E88" i="10" s="1"/>
  <c r="E97" i="10" s="1"/>
  <c r="E106" i="10" s="1"/>
  <c r="E115" i="10" s="1"/>
  <c r="E124" i="10" s="1"/>
  <c r="E133" i="10" s="1"/>
  <c r="E17" i="10"/>
  <c r="E26" i="10" s="1"/>
  <c r="E35" i="10" s="1"/>
  <c r="E44" i="10" s="1"/>
  <c r="E53" i="10" s="1"/>
  <c r="E62" i="10" s="1"/>
  <c r="E71" i="10" s="1"/>
  <c r="E80" i="10" s="1"/>
  <c r="E89" i="10" s="1"/>
  <c r="E98" i="10" s="1"/>
  <c r="E107" i="10" s="1"/>
  <c r="E116" i="10" s="1"/>
  <c r="E125" i="10" s="1"/>
  <c r="E134" i="10" s="1"/>
  <c r="E18" i="10"/>
  <c r="E27" i="10" s="1"/>
  <c r="E36" i="10" s="1"/>
  <c r="E45" i="10" s="1"/>
  <c r="E54" i="10" s="1"/>
  <c r="E63" i="10" s="1"/>
  <c r="E72" i="10" s="1"/>
  <c r="E81" i="10" s="1"/>
  <c r="E90" i="10" s="1"/>
  <c r="E99" i="10" s="1"/>
  <c r="E108" i="10" s="1"/>
  <c r="E117" i="10" s="1"/>
  <c r="E126" i="10" s="1"/>
  <c r="E135" i="10" s="1"/>
  <c r="E19" i="10"/>
  <c r="E28" i="10" s="1"/>
  <c r="E37" i="10" s="1"/>
  <c r="E46" i="10" s="1"/>
  <c r="E55" i="10" s="1"/>
  <c r="E64" i="10" s="1"/>
  <c r="E73" i="10" s="1"/>
  <c r="E82" i="10" s="1"/>
  <c r="E91" i="10" s="1"/>
  <c r="E100" i="10" s="1"/>
  <c r="E109" i="10" s="1"/>
  <c r="E118" i="10" s="1"/>
  <c r="E127" i="10" s="1"/>
  <c r="E136" i="10" s="1"/>
  <c r="E12" i="10"/>
  <c r="E21" i="10" s="1"/>
  <c r="E30" i="10" s="1"/>
  <c r="E39" i="10" s="1"/>
  <c r="E48" i="10" s="1"/>
  <c r="E57" i="10" s="1"/>
  <c r="E66" i="10" s="1"/>
  <c r="E75" i="10" s="1"/>
  <c r="E84" i="10" s="1"/>
  <c r="E93" i="10" s="1"/>
  <c r="E102" i="10" s="1"/>
  <c r="E111" i="10" s="1"/>
  <c r="E120" i="10" s="1"/>
  <c r="E129" i="10" s="1"/>
  <c r="B57" i="9"/>
  <c r="B58" i="9"/>
  <c r="B59" i="9"/>
  <c r="B60" i="9"/>
  <c r="B61" i="9"/>
  <c r="B62" i="9"/>
  <c r="B63" i="9"/>
  <c r="B64" i="9"/>
  <c r="B65" i="9"/>
  <c r="B66" i="9"/>
  <c r="B68" i="9"/>
  <c r="B69" i="9"/>
  <c r="B70" i="9"/>
  <c r="B71" i="9"/>
  <c r="B72" i="9"/>
  <c r="B73" i="9"/>
  <c r="B75" i="9"/>
  <c r="B77" i="9"/>
  <c r="B78" i="9"/>
  <c r="B79" i="9"/>
  <c r="B80" i="9"/>
  <c r="B81" i="9"/>
  <c r="B84" i="9"/>
  <c r="B86" i="9"/>
  <c r="B87" i="9"/>
  <c r="B88" i="9"/>
  <c r="B89" i="9"/>
  <c r="B90" i="9"/>
  <c r="B93" i="9"/>
  <c r="B95" i="9"/>
  <c r="B96" i="9"/>
  <c r="B97" i="9"/>
  <c r="B98" i="9"/>
  <c r="B99" i="9"/>
  <c r="B102" i="9"/>
  <c r="B104" i="9"/>
  <c r="B105" i="9"/>
  <c r="B106" i="9"/>
  <c r="B108" i="9"/>
  <c r="B111" i="9"/>
  <c r="B113" i="9"/>
  <c r="B114" i="9"/>
  <c r="B115" i="9"/>
  <c r="B117" i="9"/>
  <c r="B56" i="9"/>
  <c r="C118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C93" i="9"/>
  <c r="C94" i="9"/>
  <c r="C95" i="9"/>
  <c r="C96" i="9"/>
  <c r="C97" i="9"/>
  <c r="C98" i="9"/>
  <c r="C99" i="9"/>
  <c r="C100" i="9"/>
  <c r="C101" i="9"/>
  <c r="C102" i="9"/>
  <c r="C103" i="9"/>
  <c r="C104" i="9"/>
  <c r="C105" i="9"/>
  <c r="C106" i="9"/>
  <c r="C107" i="9"/>
  <c r="C108" i="9"/>
  <c r="C109" i="9"/>
  <c r="C110" i="9"/>
  <c r="C111" i="9"/>
  <c r="C112" i="9"/>
  <c r="C113" i="9"/>
  <c r="C114" i="9"/>
  <c r="C115" i="9"/>
  <c r="C116" i="9"/>
  <c r="C117" i="9"/>
  <c r="C119" i="9"/>
  <c r="C120" i="9"/>
  <c r="C121" i="9"/>
  <c r="C122" i="9"/>
  <c r="C123" i="9"/>
  <c r="C124" i="9"/>
  <c r="C125" i="9"/>
  <c r="C126" i="9"/>
  <c r="C127" i="9"/>
  <c r="C128" i="9"/>
  <c r="C129" i="9"/>
  <c r="C130" i="9"/>
  <c r="C131" i="9"/>
  <c r="C132" i="9"/>
  <c r="C133" i="9"/>
  <c r="C134" i="9"/>
  <c r="C135" i="9"/>
  <c r="C136" i="9"/>
  <c r="C137" i="9"/>
  <c r="C138" i="9"/>
  <c r="C139" i="9"/>
  <c r="C140" i="9"/>
  <c r="C141" i="9"/>
  <c r="C142" i="9"/>
  <c r="C143" i="9"/>
  <c r="C144" i="9"/>
  <c r="C145" i="9"/>
  <c r="C146" i="9"/>
  <c r="C147" i="9"/>
  <c r="C148" i="9"/>
  <c r="C149" i="9"/>
  <c r="C150" i="9"/>
  <c r="C151" i="9"/>
  <c r="C152" i="9"/>
  <c r="C153" i="9"/>
  <c r="C154" i="9"/>
  <c r="C155" i="9"/>
  <c r="C156" i="9"/>
  <c r="C157" i="9"/>
  <c r="C158" i="9"/>
  <c r="C159" i="9"/>
  <c r="C160" i="9"/>
  <c r="C161" i="9"/>
  <c r="C162" i="9"/>
  <c r="C163" i="9"/>
  <c r="C164" i="9"/>
  <c r="C165" i="9"/>
  <c r="C166" i="9"/>
  <c r="C167" i="9"/>
  <c r="C168" i="9"/>
  <c r="C65" i="9"/>
  <c r="C66" i="9"/>
  <c r="C67" i="9"/>
  <c r="C68" i="9"/>
  <c r="C69" i="9"/>
  <c r="C70" i="9"/>
  <c r="C71" i="9"/>
  <c r="C72" i="9"/>
  <c r="C73" i="9"/>
  <c r="C56" i="9"/>
  <c r="C57" i="9"/>
  <c r="C58" i="9"/>
  <c r="C59" i="9"/>
  <c r="C60" i="9"/>
  <c r="C61" i="9"/>
  <c r="C62" i="9"/>
  <c r="C63" i="9"/>
  <c r="C64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20" i="9"/>
  <c r="E12" i="9"/>
  <c r="E13" i="9"/>
  <c r="E14" i="9"/>
  <c r="E15" i="9"/>
  <c r="E16" i="9"/>
  <c r="E17" i="9"/>
  <c r="E18" i="9"/>
  <c r="E19" i="9"/>
  <c r="E11" i="9"/>
  <c r="C149" i="8"/>
  <c r="C150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5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99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100" i="8"/>
  <c r="C101" i="8"/>
  <c r="C22" i="8"/>
  <c r="E13" i="8"/>
  <c r="E23" i="8" s="1"/>
  <c r="E33" i="8" s="1"/>
  <c r="E43" i="8" s="1"/>
  <c r="E53" i="8" s="1"/>
  <c r="E63" i="8" s="1"/>
  <c r="E73" i="8" s="1"/>
  <c r="E83" i="8" s="1"/>
  <c r="E93" i="8" s="1"/>
  <c r="E103" i="8" s="1"/>
  <c r="E113" i="8" s="1"/>
  <c r="E123" i="8" s="1"/>
  <c r="E133" i="8" s="1"/>
  <c r="E143" i="8" s="1"/>
  <c r="E14" i="8"/>
  <c r="E24" i="8" s="1"/>
  <c r="E34" i="8" s="1"/>
  <c r="E44" i="8" s="1"/>
  <c r="E54" i="8" s="1"/>
  <c r="E64" i="8" s="1"/>
  <c r="E74" i="8" s="1"/>
  <c r="E84" i="8" s="1"/>
  <c r="E94" i="8" s="1"/>
  <c r="E104" i="8" s="1"/>
  <c r="E114" i="8" s="1"/>
  <c r="E124" i="8" s="1"/>
  <c r="E134" i="8" s="1"/>
  <c r="E144" i="8" s="1"/>
  <c r="E15" i="8"/>
  <c r="E25" i="8" s="1"/>
  <c r="E35" i="8" s="1"/>
  <c r="E45" i="8" s="1"/>
  <c r="E55" i="8" s="1"/>
  <c r="E65" i="8" s="1"/>
  <c r="E75" i="8" s="1"/>
  <c r="E85" i="8" s="1"/>
  <c r="E95" i="8" s="1"/>
  <c r="E105" i="8" s="1"/>
  <c r="E115" i="8" s="1"/>
  <c r="E125" i="8" s="1"/>
  <c r="E135" i="8" s="1"/>
  <c r="E145" i="8" s="1"/>
  <c r="E16" i="8"/>
  <c r="E26" i="8" s="1"/>
  <c r="E36" i="8" s="1"/>
  <c r="E46" i="8" s="1"/>
  <c r="E56" i="8" s="1"/>
  <c r="E66" i="8" s="1"/>
  <c r="E76" i="8" s="1"/>
  <c r="E86" i="8" s="1"/>
  <c r="E96" i="8" s="1"/>
  <c r="E106" i="8" s="1"/>
  <c r="E116" i="8" s="1"/>
  <c r="E126" i="8" s="1"/>
  <c r="E136" i="8" s="1"/>
  <c r="E146" i="8" s="1"/>
  <c r="E17" i="8"/>
  <c r="E27" i="8" s="1"/>
  <c r="E37" i="8" s="1"/>
  <c r="E47" i="8" s="1"/>
  <c r="E57" i="8" s="1"/>
  <c r="E67" i="8" s="1"/>
  <c r="E77" i="8" s="1"/>
  <c r="E87" i="8" s="1"/>
  <c r="E97" i="8" s="1"/>
  <c r="E107" i="8" s="1"/>
  <c r="E117" i="8" s="1"/>
  <c r="E127" i="8" s="1"/>
  <c r="E137" i="8" s="1"/>
  <c r="E147" i="8" s="1"/>
  <c r="E18" i="8"/>
  <c r="E28" i="8" s="1"/>
  <c r="E38" i="8" s="1"/>
  <c r="E48" i="8" s="1"/>
  <c r="E58" i="8" s="1"/>
  <c r="E68" i="8" s="1"/>
  <c r="E78" i="8" s="1"/>
  <c r="E88" i="8" s="1"/>
  <c r="E98" i="8" s="1"/>
  <c r="E108" i="8" s="1"/>
  <c r="E118" i="8" s="1"/>
  <c r="E128" i="8" s="1"/>
  <c r="E138" i="8" s="1"/>
  <c r="E148" i="8" s="1"/>
  <c r="E19" i="8"/>
  <c r="E29" i="8" s="1"/>
  <c r="E39" i="8" s="1"/>
  <c r="E49" i="8" s="1"/>
  <c r="E59" i="8" s="1"/>
  <c r="E69" i="8" s="1"/>
  <c r="E79" i="8" s="1"/>
  <c r="E89" i="8" s="1"/>
  <c r="E99" i="8" s="1"/>
  <c r="E109" i="8" s="1"/>
  <c r="E119" i="8" s="1"/>
  <c r="E129" i="8" s="1"/>
  <c r="E139" i="8" s="1"/>
  <c r="E149" i="8" s="1"/>
  <c r="E20" i="8"/>
  <c r="E30" i="8" s="1"/>
  <c r="E40" i="8" s="1"/>
  <c r="E50" i="8" s="1"/>
  <c r="E60" i="8" s="1"/>
  <c r="E70" i="8" s="1"/>
  <c r="E80" i="8" s="1"/>
  <c r="E90" i="8" s="1"/>
  <c r="E100" i="8" s="1"/>
  <c r="E110" i="8" s="1"/>
  <c r="E120" i="8" s="1"/>
  <c r="E130" i="8" s="1"/>
  <c r="E140" i="8" s="1"/>
  <c r="E150" i="8" s="1"/>
  <c r="E21" i="8"/>
  <c r="E31" i="8" s="1"/>
  <c r="E41" i="8" s="1"/>
  <c r="E51" i="8" s="1"/>
  <c r="E61" i="8" s="1"/>
  <c r="E71" i="8" s="1"/>
  <c r="E81" i="8" s="1"/>
  <c r="E91" i="8" s="1"/>
  <c r="E101" i="8" s="1"/>
  <c r="E111" i="8" s="1"/>
  <c r="E121" i="8" s="1"/>
  <c r="E131" i="8" s="1"/>
  <c r="E141" i="8" s="1"/>
  <c r="E151" i="8" s="1"/>
  <c r="E12" i="8"/>
  <c r="E22" i="8" s="1"/>
  <c r="E32" i="8" s="1"/>
  <c r="E42" i="8" s="1"/>
  <c r="E52" i="8" s="1"/>
  <c r="E62" i="8" s="1"/>
  <c r="E72" i="8" s="1"/>
  <c r="E82" i="8" s="1"/>
  <c r="E92" i="8" s="1"/>
  <c r="E102" i="8" s="1"/>
  <c r="E112" i="8" s="1"/>
  <c r="E122" i="8" s="1"/>
  <c r="E132" i="8" s="1"/>
  <c r="E142" i="8" s="1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92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44" i="7"/>
  <c r="C37" i="7"/>
  <c r="C38" i="7"/>
  <c r="C39" i="7"/>
  <c r="C40" i="7"/>
  <c r="C41" i="7"/>
  <c r="C42" i="7"/>
  <c r="C43" i="7"/>
  <c r="C36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17" i="7"/>
  <c r="C18" i="7"/>
  <c r="C19" i="7"/>
  <c r="C20" i="7"/>
  <c r="C21" i="7"/>
  <c r="C22" i="7"/>
  <c r="C16" i="7"/>
  <c r="E15" i="7"/>
  <c r="E22" i="7" s="1"/>
  <c r="E29" i="7" s="1"/>
  <c r="E36" i="7" s="1"/>
  <c r="E43" i="7" s="1"/>
  <c r="E50" i="7" s="1"/>
  <c r="E57" i="7" s="1"/>
  <c r="E64" i="7" s="1"/>
  <c r="E71" i="7" s="1"/>
  <c r="E78" i="7" s="1"/>
  <c r="E85" i="7" s="1"/>
  <c r="E92" i="7" s="1"/>
  <c r="E99" i="7" s="1"/>
  <c r="E106" i="7" s="1"/>
  <c r="E10" i="7"/>
  <c r="E17" i="7" s="1"/>
  <c r="E24" i="7" s="1"/>
  <c r="E31" i="7" s="1"/>
  <c r="E38" i="7" s="1"/>
  <c r="E45" i="7" s="1"/>
  <c r="E52" i="7" s="1"/>
  <c r="E59" i="7" s="1"/>
  <c r="E66" i="7" s="1"/>
  <c r="E73" i="7" s="1"/>
  <c r="E80" i="7" s="1"/>
  <c r="E87" i="7" s="1"/>
  <c r="E94" i="7" s="1"/>
  <c r="E101" i="7" s="1"/>
  <c r="E11" i="7"/>
  <c r="E18" i="7" s="1"/>
  <c r="E25" i="7" s="1"/>
  <c r="E32" i="7" s="1"/>
  <c r="E39" i="7" s="1"/>
  <c r="E46" i="7" s="1"/>
  <c r="E53" i="7" s="1"/>
  <c r="E60" i="7" s="1"/>
  <c r="E67" i="7" s="1"/>
  <c r="E74" i="7" s="1"/>
  <c r="E81" i="7" s="1"/>
  <c r="E88" i="7" s="1"/>
  <c r="E95" i="7" s="1"/>
  <c r="E102" i="7" s="1"/>
  <c r="E12" i="7"/>
  <c r="E19" i="7" s="1"/>
  <c r="E26" i="7" s="1"/>
  <c r="E33" i="7" s="1"/>
  <c r="E40" i="7" s="1"/>
  <c r="E47" i="7" s="1"/>
  <c r="E54" i="7" s="1"/>
  <c r="E61" i="7" s="1"/>
  <c r="E68" i="7" s="1"/>
  <c r="E75" i="7" s="1"/>
  <c r="E82" i="7" s="1"/>
  <c r="E89" i="7" s="1"/>
  <c r="E96" i="7" s="1"/>
  <c r="E103" i="7" s="1"/>
  <c r="E13" i="7"/>
  <c r="E20" i="7" s="1"/>
  <c r="E27" i="7" s="1"/>
  <c r="E34" i="7" s="1"/>
  <c r="E41" i="7" s="1"/>
  <c r="E48" i="7" s="1"/>
  <c r="E55" i="7" s="1"/>
  <c r="E62" i="7" s="1"/>
  <c r="E69" i="7" s="1"/>
  <c r="E76" i="7" s="1"/>
  <c r="E83" i="7" s="1"/>
  <c r="E90" i="7" s="1"/>
  <c r="E97" i="7" s="1"/>
  <c r="E104" i="7" s="1"/>
  <c r="E14" i="7"/>
  <c r="E21" i="7" s="1"/>
  <c r="E28" i="7" s="1"/>
  <c r="E35" i="7" s="1"/>
  <c r="E42" i="7" s="1"/>
  <c r="E49" i="7" s="1"/>
  <c r="E56" i="7" s="1"/>
  <c r="E63" i="7" s="1"/>
  <c r="E70" i="7" s="1"/>
  <c r="E77" i="7" s="1"/>
  <c r="E84" i="7" s="1"/>
  <c r="E91" i="7" s="1"/>
  <c r="E98" i="7" s="1"/>
  <c r="E105" i="7" s="1"/>
  <c r="E9" i="7"/>
  <c r="E16" i="7" s="1"/>
  <c r="E23" i="7" s="1"/>
  <c r="E30" i="7" s="1"/>
  <c r="E37" i="7" s="1"/>
  <c r="E44" i="7" s="1"/>
  <c r="E51" i="7" s="1"/>
  <c r="E58" i="7" s="1"/>
  <c r="E65" i="7" s="1"/>
  <c r="E72" i="7" s="1"/>
  <c r="E79" i="7" s="1"/>
  <c r="E86" i="7" s="1"/>
  <c r="E93" i="7" s="1"/>
  <c r="E100" i="7" s="1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00" i="6"/>
  <c r="C101" i="6"/>
  <c r="C102" i="6"/>
  <c r="C103" i="6"/>
  <c r="C104" i="6"/>
  <c r="C105" i="6"/>
  <c r="C106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72" i="6"/>
  <c r="C73" i="6"/>
  <c r="C74" i="6"/>
  <c r="C75" i="6"/>
  <c r="C76" i="6"/>
  <c r="C77" i="6"/>
  <c r="C78" i="6"/>
  <c r="C71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44" i="6"/>
  <c r="C45" i="6"/>
  <c r="C46" i="6"/>
  <c r="C47" i="6"/>
  <c r="C48" i="6"/>
  <c r="C49" i="6"/>
  <c r="C50" i="6"/>
  <c r="C37" i="6"/>
  <c r="C38" i="6"/>
  <c r="C39" i="6"/>
  <c r="C40" i="6"/>
  <c r="C41" i="6"/>
  <c r="C42" i="6"/>
  <c r="C43" i="6"/>
  <c r="C33" i="6"/>
  <c r="C34" i="6"/>
  <c r="C35" i="6"/>
  <c r="C36" i="6"/>
  <c r="C26" i="6"/>
  <c r="C27" i="6"/>
  <c r="C28" i="6"/>
  <c r="C29" i="6"/>
  <c r="C30" i="6"/>
  <c r="C31" i="6"/>
  <c r="C32" i="6"/>
  <c r="C24" i="6"/>
  <c r="C25" i="6"/>
  <c r="C23" i="6"/>
  <c r="C17" i="6"/>
  <c r="C18" i="6"/>
  <c r="C19" i="6"/>
  <c r="C20" i="6"/>
  <c r="C21" i="6"/>
  <c r="C22" i="6"/>
  <c r="C16" i="6"/>
  <c r="E16" i="6"/>
  <c r="E23" i="6" s="1"/>
  <c r="E30" i="6" s="1"/>
  <c r="E37" i="6" s="1"/>
  <c r="E44" i="6" s="1"/>
  <c r="E51" i="6" s="1"/>
  <c r="E58" i="6" s="1"/>
  <c r="E65" i="6" s="1"/>
  <c r="E72" i="6" s="1"/>
  <c r="E79" i="6" s="1"/>
  <c r="E86" i="6" s="1"/>
  <c r="E93" i="6" s="1"/>
  <c r="E100" i="6" s="1"/>
  <c r="E107" i="6" s="1"/>
  <c r="E114" i="6" s="1"/>
  <c r="E11" i="6"/>
  <c r="E18" i="6" s="1"/>
  <c r="E25" i="6" s="1"/>
  <c r="E32" i="6" s="1"/>
  <c r="E39" i="6" s="1"/>
  <c r="E46" i="6" s="1"/>
  <c r="E53" i="6" s="1"/>
  <c r="E60" i="6" s="1"/>
  <c r="E67" i="6" s="1"/>
  <c r="E74" i="6" s="1"/>
  <c r="E81" i="6" s="1"/>
  <c r="E88" i="6" s="1"/>
  <c r="E95" i="6" s="1"/>
  <c r="E102" i="6" s="1"/>
  <c r="E109" i="6" s="1"/>
  <c r="E116" i="6" s="1"/>
  <c r="E12" i="6"/>
  <c r="E19" i="6" s="1"/>
  <c r="E26" i="6" s="1"/>
  <c r="E33" i="6" s="1"/>
  <c r="E40" i="6" s="1"/>
  <c r="E47" i="6" s="1"/>
  <c r="E54" i="6" s="1"/>
  <c r="E61" i="6" s="1"/>
  <c r="E68" i="6" s="1"/>
  <c r="E75" i="6" s="1"/>
  <c r="E82" i="6" s="1"/>
  <c r="E89" i="6" s="1"/>
  <c r="E96" i="6" s="1"/>
  <c r="E103" i="6" s="1"/>
  <c r="E110" i="6" s="1"/>
  <c r="E117" i="6" s="1"/>
  <c r="E13" i="6"/>
  <c r="E20" i="6" s="1"/>
  <c r="E27" i="6" s="1"/>
  <c r="E34" i="6" s="1"/>
  <c r="E41" i="6" s="1"/>
  <c r="E48" i="6" s="1"/>
  <c r="E55" i="6" s="1"/>
  <c r="E62" i="6" s="1"/>
  <c r="E69" i="6" s="1"/>
  <c r="E76" i="6" s="1"/>
  <c r="E83" i="6" s="1"/>
  <c r="E90" i="6" s="1"/>
  <c r="E97" i="6" s="1"/>
  <c r="E104" i="6" s="1"/>
  <c r="E111" i="6" s="1"/>
  <c r="E118" i="6" s="1"/>
  <c r="E14" i="6"/>
  <c r="E21" i="6" s="1"/>
  <c r="E28" i="6" s="1"/>
  <c r="E35" i="6" s="1"/>
  <c r="E42" i="6" s="1"/>
  <c r="E49" i="6" s="1"/>
  <c r="E56" i="6" s="1"/>
  <c r="E63" i="6" s="1"/>
  <c r="E70" i="6" s="1"/>
  <c r="E77" i="6" s="1"/>
  <c r="E84" i="6" s="1"/>
  <c r="E91" i="6" s="1"/>
  <c r="E98" i="6" s="1"/>
  <c r="E105" i="6" s="1"/>
  <c r="E112" i="6" s="1"/>
  <c r="E119" i="6" s="1"/>
  <c r="E15" i="6"/>
  <c r="E22" i="6" s="1"/>
  <c r="E29" i="6" s="1"/>
  <c r="E36" i="6" s="1"/>
  <c r="E43" i="6" s="1"/>
  <c r="E50" i="6" s="1"/>
  <c r="E57" i="6" s="1"/>
  <c r="E64" i="6" s="1"/>
  <c r="E71" i="6" s="1"/>
  <c r="E78" i="6" s="1"/>
  <c r="E85" i="6" s="1"/>
  <c r="E92" i="6" s="1"/>
  <c r="E99" i="6" s="1"/>
  <c r="E106" i="6" s="1"/>
  <c r="E113" i="6" s="1"/>
  <c r="E120" i="6" s="1"/>
  <c r="E10" i="6"/>
  <c r="E17" i="6" s="1"/>
  <c r="E24" i="6" s="1"/>
  <c r="E31" i="6" s="1"/>
  <c r="E38" i="6" s="1"/>
  <c r="E45" i="6" s="1"/>
  <c r="E52" i="6" s="1"/>
  <c r="E59" i="6" s="1"/>
  <c r="E66" i="6" s="1"/>
  <c r="E73" i="6" s="1"/>
  <c r="E80" i="6" s="1"/>
  <c r="E87" i="6" s="1"/>
  <c r="E94" i="6" s="1"/>
  <c r="E101" i="6" s="1"/>
  <c r="E108" i="6" s="1"/>
  <c r="E115" i="6" s="1"/>
  <c r="C97" i="5"/>
  <c r="C86" i="5"/>
  <c r="C87" i="5"/>
  <c r="C88" i="5"/>
  <c r="C89" i="5"/>
  <c r="C90" i="5"/>
  <c r="C91" i="5"/>
  <c r="C92" i="5"/>
  <c r="C93" i="5"/>
  <c r="C94" i="5"/>
  <c r="C95" i="5"/>
  <c r="C96" i="5"/>
  <c r="C98" i="5"/>
  <c r="C99" i="5"/>
  <c r="C85" i="5"/>
  <c r="C79" i="5"/>
  <c r="C80" i="5"/>
  <c r="C81" i="5"/>
  <c r="C82" i="5"/>
  <c r="C83" i="5"/>
  <c r="C84" i="5"/>
  <c r="C72" i="5"/>
  <c r="C73" i="5"/>
  <c r="C74" i="5"/>
  <c r="C75" i="5"/>
  <c r="C76" i="5"/>
  <c r="C77" i="5"/>
  <c r="C78" i="5"/>
  <c r="C71" i="5"/>
  <c r="C65" i="5"/>
  <c r="C66" i="5"/>
  <c r="C67" i="5"/>
  <c r="C68" i="5"/>
  <c r="C69" i="5"/>
  <c r="C70" i="5"/>
  <c r="C58" i="5"/>
  <c r="C59" i="5"/>
  <c r="C60" i="5"/>
  <c r="C61" i="5"/>
  <c r="C62" i="5"/>
  <c r="C63" i="5"/>
  <c r="C64" i="5"/>
  <c r="C51" i="5"/>
  <c r="C52" i="5"/>
  <c r="C53" i="5"/>
  <c r="C54" i="5"/>
  <c r="C55" i="5"/>
  <c r="C56" i="5"/>
  <c r="C57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E17" i="5"/>
  <c r="E24" i="5" s="1"/>
  <c r="E31" i="5" s="1"/>
  <c r="E38" i="5" s="1"/>
  <c r="E45" i="5" s="1"/>
  <c r="E52" i="5" s="1"/>
  <c r="E59" i="5" s="1"/>
  <c r="E66" i="5" s="1"/>
  <c r="E73" i="5" s="1"/>
  <c r="E80" i="5" s="1"/>
  <c r="E87" i="5" s="1"/>
  <c r="E94" i="5" s="1"/>
  <c r="E18" i="5"/>
  <c r="E25" i="5" s="1"/>
  <c r="E32" i="5" s="1"/>
  <c r="E39" i="5" s="1"/>
  <c r="E46" i="5" s="1"/>
  <c r="E53" i="5" s="1"/>
  <c r="E60" i="5" s="1"/>
  <c r="E67" i="5" s="1"/>
  <c r="E74" i="5" s="1"/>
  <c r="E81" i="5" s="1"/>
  <c r="E88" i="5" s="1"/>
  <c r="E95" i="5" s="1"/>
  <c r="E19" i="5"/>
  <c r="E26" i="5" s="1"/>
  <c r="E33" i="5" s="1"/>
  <c r="E40" i="5" s="1"/>
  <c r="E47" i="5" s="1"/>
  <c r="E54" i="5" s="1"/>
  <c r="E61" i="5" s="1"/>
  <c r="E68" i="5" s="1"/>
  <c r="E75" i="5" s="1"/>
  <c r="E82" i="5" s="1"/>
  <c r="E89" i="5" s="1"/>
  <c r="E96" i="5" s="1"/>
  <c r="E20" i="5"/>
  <c r="E27" i="5" s="1"/>
  <c r="E34" i="5" s="1"/>
  <c r="E41" i="5" s="1"/>
  <c r="E48" i="5" s="1"/>
  <c r="E55" i="5" s="1"/>
  <c r="E62" i="5" s="1"/>
  <c r="E69" i="5" s="1"/>
  <c r="E76" i="5" s="1"/>
  <c r="E83" i="5" s="1"/>
  <c r="E90" i="5" s="1"/>
  <c r="E97" i="5" s="1"/>
  <c r="E21" i="5"/>
  <c r="E28" i="5" s="1"/>
  <c r="E35" i="5" s="1"/>
  <c r="E42" i="5" s="1"/>
  <c r="E49" i="5" s="1"/>
  <c r="E56" i="5" s="1"/>
  <c r="E63" i="5" s="1"/>
  <c r="E70" i="5" s="1"/>
  <c r="E77" i="5" s="1"/>
  <c r="E84" i="5" s="1"/>
  <c r="E91" i="5" s="1"/>
  <c r="E98" i="5" s="1"/>
  <c r="E22" i="5"/>
  <c r="E29" i="5" s="1"/>
  <c r="E36" i="5" s="1"/>
  <c r="E43" i="5" s="1"/>
  <c r="E50" i="5" s="1"/>
  <c r="E57" i="5" s="1"/>
  <c r="E64" i="5" s="1"/>
  <c r="E71" i="5" s="1"/>
  <c r="E78" i="5" s="1"/>
  <c r="E85" i="5" s="1"/>
  <c r="E92" i="5" s="1"/>
  <c r="E99" i="5" s="1"/>
  <c r="E16" i="5"/>
  <c r="E23" i="5" s="1"/>
  <c r="E30" i="5" s="1"/>
  <c r="E37" i="5" s="1"/>
  <c r="E44" i="5" s="1"/>
  <c r="E51" i="5" s="1"/>
  <c r="E58" i="5" s="1"/>
  <c r="E65" i="5" s="1"/>
  <c r="E72" i="5" s="1"/>
  <c r="E79" i="5" s="1"/>
  <c r="E86" i="5" s="1"/>
  <c r="E93" i="5" s="1"/>
  <c r="B72" i="1"/>
  <c r="B70" i="1"/>
  <c r="B71" i="1"/>
  <c r="C87" i="2"/>
  <c r="C88" i="2"/>
  <c r="C89" i="2"/>
  <c r="C90" i="2"/>
  <c r="C91" i="2"/>
  <c r="C92" i="2"/>
  <c r="C67" i="2"/>
  <c r="C79" i="2"/>
  <c r="C80" i="2"/>
  <c r="C81" i="2"/>
  <c r="C82" i="2"/>
  <c r="C83" i="2"/>
  <c r="C84" i="2"/>
  <c r="C85" i="2"/>
  <c r="C86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8" i="2"/>
  <c r="C69" i="2"/>
  <c r="C70" i="2"/>
  <c r="C71" i="2"/>
  <c r="C72" i="2"/>
  <c r="C73" i="2"/>
  <c r="C74" i="2"/>
  <c r="C75" i="2"/>
  <c r="C76" i="2"/>
  <c r="C77" i="2"/>
  <c r="C78" i="2"/>
  <c r="E12" i="2"/>
  <c r="E19" i="2" s="1"/>
  <c r="E26" i="2" s="1"/>
  <c r="E33" i="2" s="1"/>
  <c r="E40" i="2" s="1"/>
  <c r="E47" i="2" s="1"/>
  <c r="E54" i="2" s="1"/>
  <c r="E61" i="2" s="1"/>
  <c r="E68" i="2" s="1"/>
  <c r="E75" i="2" s="1"/>
  <c r="E82" i="2" s="1"/>
  <c r="E89" i="2" s="1"/>
  <c r="E13" i="2"/>
  <c r="E20" i="2" s="1"/>
  <c r="E27" i="2" s="1"/>
  <c r="E34" i="2" s="1"/>
  <c r="E41" i="2" s="1"/>
  <c r="E48" i="2" s="1"/>
  <c r="E55" i="2" s="1"/>
  <c r="E62" i="2" s="1"/>
  <c r="E69" i="2" s="1"/>
  <c r="E76" i="2" s="1"/>
  <c r="E83" i="2" s="1"/>
  <c r="E90" i="2" s="1"/>
  <c r="E18" i="2"/>
  <c r="E25" i="2" s="1"/>
  <c r="E32" i="2" s="1"/>
  <c r="E39" i="2" s="1"/>
  <c r="E46" i="2" s="1"/>
  <c r="E53" i="2" s="1"/>
  <c r="E60" i="2" s="1"/>
  <c r="E67" i="2" s="1"/>
  <c r="E74" i="2" s="1"/>
  <c r="E81" i="2" s="1"/>
  <c r="E88" i="2" s="1"/>
  <c r="E9" i="2"/>
  <c r="E16" i="2" s="1"/>
  <c r="E23" i="2" s="1"/>
  <c r="E30" i="2" s="1"/>
  <c r="E37" i="2" s="1"/>
  <c r="E44" i="2" s="1"/>
  <c r="E51" i="2" s="1"/>
  <c r="E58" i="2" s="1"/>
  <c r="E65" i="2" s="1"/>
  <c r="E72" i="2" s="1"/>
  <c r="E79" i="2" s="1"/>
  <c r="E86" i="2" s="1"/>
  <c r="E93" i="2" s="1"/>
  <c r="E10" i="2"/>
  <c r="E17" i="2" s="1"/>
  <c r="E24" i="2" s="1"/>
  <c r="E31" i="2" s="1"/>
  <c r="E38" i="2" s="1"/>
  <c r="E45" i="2" s="1"/>
  <c r="E52" i="2" s="1"/>
  <c r="E59" i="2" s="1"/>
  <c r="E66" i="2" s="1"/>
  <c r="E73" i="2" s="1"/>
  <c r="E80" i="2" s="1"/>
  <c r="E87" i="2" s="1"/>
  <c r="E14" i="2"/>
  <c r="E21" i="2" s="1"/>
  <c r="E28" i="2" s="1"/>
  <c r="E35" i="2" s="1"/>
  <c r="E42" i="2" s="1"/>
  <c r="E49" i="2" s="1"/>
  <c r="E56" i="2" s="1"/>
  <c r="E63" i="2" s="1"/>
  <c r="E70" i="2" s="1"/>
  <c r="E77" i="2" s="1"/>
  <c r="E84" i="2" s="1"/>
  <c r="E91" i="2" s="1"/>
  <c r="E15" i="2"/>
  <c r="E22" i="2" s="1"/>
  <c r="E29" i="2" s="1"/>
  <c r="E36" i="2" s="1"/>
  <c r="E43" i="2" s="1"/>
  <c r="E50" i="2" s="1"/>
  <c r="E57" i="2" s="1"/>
  <c r="E64" i="2" s="1"/>
  <c r="E71" i="2" s="1"/>
  <c r="E78" i="2" s="1"/>
  <c r="E85" i="2" s="1"/>
  <c r="E92" i="2" s="1"/>
  <c r="C102" i="1"/>
  <c r="C104" i="1"/>
  <c r="C105" i="1"/>
  <c r="C106" i="1"/>
  <c r="B102" i="1"/>
  <c r="B104" i="1"/>
  <c r="B105" i="1"/>
  <c r="B106" i="1"/>
  <c r="C101" i="1"/>
  <c r="C97" i="1"/>
  <c r="C99" i="1"/>
  <c r="C100" i="1"/>
  <c r="B97" i="1"/>
  <c r="B99" i="1"/>
  <c r="B100" i="1"/>
  <c r="B101" i="1"/>
  <c r="B92" i="1"/>
  <c r="B94" i="1"/>
  <c r="B95" i="1"/>
  <c r="B96" i="1"/>
  <c r="C92" i="1"/>
  <c r="C94" i="1"/>
  <c r="C95" i="1"/>
  <c r="C96" i="1"/>
  <c r="C9" i="1"/>
  <c r="C10" i="1"/>
  <c r="C11" i="1"/>
  <c r="C12" i="1"/>
  <c r="C14" i="1"/>
  <c r="C15" i="1"/>
  <c r="C16" i="1"/>
  <c r="C17" i="1"/>
  <c r="C19" i="1"/>
  <c r="C20" i="1"/>
  <c r="C21" i="1"/>
  <c r="C22" i="1"/>
  <c r="C24" i="1"/>
  <c r="C25" i="1"/>
  <c r="C26" i="1"/>
  <c r="C27" i="1"/>
  <c r="C29" i="1"/>
  <c r="C30" i="1"/>
  <c r="C31" i="1"/>
  <c r="C32" i="1"/>
  <c r="C34" i="1"/>
  <c r="C35" i="1"/>
  <c r="C36" i="1"/>
  <c r="C37" i="1"/>
  <c r="C39" i="1"/>
  <c r="C40" i="1"/>
  <c r="C41" i="1"/>
  <c r="C42" i="1"/>
  <c r="C44" i="1"/>
  <c r="C45" i="1"/>
  <c r="C46" i="1"/>
  <c r="C47" i="1"/>
  <c r="C49" i="1"/>
  <c r="C50" i="1"/>
  <c r="C51" i="1"/>
  <c r="C52" i="1"/>
  <c r="C54" i="1"/>
  <c r="C55" i="1"/>
  <c r="C56" i="1"/>
  <c r="C57" i="1"/>
  <c r="C59" i="1"/>
  <c r="C60" i="1"/>
  <c r="C61" i="1"/>
  <c r="C62" i="1"/>
  <c r="C64" i="1"/>
  <c r="C65" i="1"/>
  <c r="C66" i="1"/>
  <c r="C67" i="1"/>
  <c r="C69" i="1"/>
  <c r="C70" i="1"/>
  <c r="C71" i="1"/>
  <c r="C72" i="1"/>
  <c r="C74" i="1"/>
  <c r="C75" i="1"/>
  <c r="C76" i="1"/>
  <c r="C77" i="1"/>
  <c r="C79" i="1"/>
  <c r="C80" i="1"/>
  <c r="C81" i="1"/>
  <c r="C82" i="1"/>
  <c r="C84" i="1"/>
  <c r="C85" i="1"/>
  <c r="C86" i="1"/>
  <c r="C87" i="1"/>
  <c r="C89" i="1"/>
  <c r="C90" i="1"/>
  <c r="C91" i="1"/>
  <c r="C7" i="1"/>
  <c r="B87" i="1"/>
  <c r="B89" i="1"/>
  <c r="B90" i="1"/>
  <c r="B91" i="1"/>
  <c r="B82" i="1"/>
  <c r="B84" i="1"/>
  <c r="B85" i="1"/>
  <c r="B86" i="1"/>
  <c r="B14" i="1"/>
  <c r="B15" i="1"/>
  <c r="B16" i="1"/>
  <c r="B17" i="1"/>
  <c r="B19" i="1"/>
  <c r="B20" i="1"/>
  <c r="B21" i="1"/>
  <c r="B22" i="1"/>
  <c r="B24" i="1"/>
  <c r="B25" i="1"/>
  <c r="B26" i="1"/>
  <c r="B27" i="1"/>
  <c r="B29" i="1"/>
  <c r="B30" i="1"/>
  <c r="B31" i="1"/>
  <c r="B32" i="1"/>
  <c r="B34" i="1"/>
  <c r="B35" i="1"/>
  <c r="B36" i="1"/>
  <c r="B37" i="1"/>
  <c r="B39" i="1"/>
  <c r="B40" i="1"/>
  <c r="B41" i="1"/>
  <c r="B42" i="1"/>
  <c r="B44" i="1"/>
  <c r="B45" i="1"/>
  <c r="B46" i="1"/>
  <c r="B47" i="1"/>
  <c r="B49" i="1"/>
  <c r="B50" i="1"/>
  <c r="B51" i="1"/>
  <c r="B52" i="1"/>
  <c r="B54" i="1"/>
  <c r="B55" i="1"/>
  <c r="B56" i="1"/>
  <c r="B57" i="1"/>
  <c r="B59" i="1"/>
  <c r="B60" i="1"/>
  <c r="B61" i="1"/>
  <c r="B62" i="1"/>
  <c r="B64" i="1"/>
  <c r="B65" i="1"/>
  <c r="B66" i="1"/>
  <c r="B67" i="1"/>
  <c r="B69" i="1"/>
  <c r="B74" i="1"/>
  <c r="B75" i="1"/>
  <c r="B76" i="1"/>
  <c r="B77" i="1"/>
  <c r="B79" i="1"/>
  <c r="B80" i="1"/>
  <c r="B81" i="1"/>
  <c r="B9" i="1"/>
  <c r="B10" i="1"/>
  <c r="B11" i="1"/>
  <c r="B12" i="1"/>
  <c r="E9" i="1"/>
  <c r="E14" i="1" s="1"/>
  <c r="E10" i="1"/>
  <c r="E15" i="1" s="1"/>
  <c r="E11" i="1"/>
  <c r="E16" i="1" s="1"/>
  <c r="E7" i="1"/>
  <c r="E12" i="1" s="1"/>
  <c r="E24" i="1"/>
  <c r="E29" i="1" s="1"/>
  <c r="E34" i="1" s="1"/>
  <c r="E39" i="1" s="1"/>
  <c r="E44" i="1" s="1"/>
  <c r="E49" i="1" s="1"/>
  <c r="E54" i="1" s="1"/>
  <c r="E59" i="1" s="1"/>
  <c r="E64" i="1" s="1"/>
  <c r="E69" i="1" s="1"/>
  <c r="E74" i="1" s="1"/>
  <c r="E79" i="1" s="1"/>
  <c r="E84" i="1" s="1"/>
  <c r="E89" i="1" s="1"/>
  <c r="E94" i="1" s="1"/>
  <c r="E99" i="1" s="1"/>
  <c r="E104" i="1" s="1"/>
  <c r="E25" i="1"/>
  <c r="E30" i="1" s="1"/>
  <c r="E35" i="1" s="1"/>
  <c r="E40" i="1" s="1"/>
  <c r="E45" i="1" s="1"/>
  <c r="E50" i="1" s="1"/>
  <c r="E55" i="1" s="1"/>
  <c r="E60" i="1" s="1"/>
  <c r="E65" i="1" s="1"/>
  <c r="E70" i="1" s="1"/>
  <c r="E75" i="1" s="1"/>
  <c r="E80" i="1" s="1"/>
  <c r="E85" i="1" s="1"/>
  <c r="E90" i="1" s="1"/>
  <c r="E95" i="1" s="1"/>
  <c r="E100" i="1" s="1"/>
  <c r="E105" i="1" s="1"/>
  <c r="E26" i="1"/>
  <c r="E31" i="1" s="1"/>
  <c r="E36" i="1" s="1"/>
  <c r="E41" i="1" s="1"/>
  <c r="E46" i="1" s="1"/>
  <c r="E51" i="1" s="1"/>
  <c r="E56" i="1" s="1"/>
  <c r="E61" i="1" s="1"/>
  <c r="E66" i="1" s="1"/>
  <c r="E71" i="1" s="1"/>
  <c r="E76" i="1" s="1"/>
  <c r="E81" i="1" s="1"/>
  <c r="E86" i="1" s="1"/>
  <c r="E91" i="1" s="1"/>
  <c r="E96" i="1" s="1"/>
  <c r="E101" i="1" s="1"/>
  <c r="E106" i="1" s="1"/>
  <c r="E22" i="1"/>
  <c r="E27" i="1" s="1"/>
  <c r="E32" i="1" s="1"/>
  <c r="E37" i="1" s="1"/>
  <c r="E42" i="1" s="1"/>
  <c r="E47" i="1" s="1"/>
  <c r="E52" i="1" s="1"/>
  <c r="E57" i="1" s="1"/>
  <c r="E62" i="1" s="1"/>
  <c r="E67" i="1" s="1"/>
  <c r="E72" i="1" s="1"/>
  <c r="E77" i="1" s="1"/>
  <c r="E82" i="1" s="1"/>
  <c r="E87" i="1" s="1"/>
  <c r="E92" i="1" s="1"/>
  <c r="E97" i="1" s="1"/>
  <c r="E102" i="1" s="1"/>
  <c r="B109" i="10" l="1"/>
  <c r="B118" i="10" s="1"/>
  <c r="B127" i="10" s="1"/>
  <c r="B136" i="10" s="1"/>
  <c r="B120" i="9"/>
  <c r="B129" i="9" s="1"/>
  <c r="B122" i="9"/>
  <c r="B131" i="9" s="1"/>
  <c r="B124" i="9"/>
  <c r="B133" i="9" s="1"/>
  <c r="B126" i="9"/>
  <c r="B135" i="9" s="1"/>
  <c r="B74" i="9"/>
  <c r="B83" i="9" s="1"/>
  <c r="B92" i="9" s="1"/>
  <c r="B107" i="9"/>
  <c r="B116" i="9" s="1"/>
  <c r="B125" i="9" s="1"/>
  <c r="B134" i="9" s="1"/>
  <c r="B123" i="9"/>
  <c r="B132" i="9" s="1"/>
  <c r="B67" i="9"/>
  <c r="B76" i="9" s="1"/>
  <c r="B85" i="9" s="1"/>
  <c r="B94" i="9" s="1"/>
  <c r="B103" i="9" s="1"/>
  <c r="B112" i="9" s="1"/>
  <c r="B82" i="9"/>
  <c r="B91" i="9" s="1"/>
  <c r="B100" i="9" s="1"/>
  <c r="B109" i="9" s="1"/>
  <c r="B118" i="9" s="1"/>
  <c r="B127" i="9" s="1"/>
  <c r="B136" i="9" s="1"/>
  <c r="E21" i="9"/>
  <c r="E30" i="9" s="1"/>
  <c r="E39" i="9" s="1"/>
  <c r="E48" i="9" s="1"/>
  <c r="E57" i="9" s="1"/>
  <c r="E66" i="9" s="1"/>
  <c r="E75" i="9" s="1"/>
  <c r="E84" i="9" s="1"/>
  <c r="E93" i="9" s="1"/>
  <c r="E102" i="9" s="1"/>
  <c r="E111" i="9" s="1"/>
  <c r="E120" i="9" s="1"/>
  <c r="E129" i="9" s="1"/>
  <c r="E138" i="9" s="1"/>
  <c r="E147" i="9" s="1"/>
  <c r="E156" i="9" s="1"/>
  <c r="E165" i="9" s="1"/>
  <c r="E22" i="9"/>
  <c r="E31" i="9" s="1"/>
  <c r="E40" i="9" s="1"/>
  <c r="E49" i="9" s="1"/>
  <c r="E58" i="9" s="1"/>
  <c r="E67" i="9" s="1"/>
  <c r="E76" i="9" s="1"/>
  <c r="E85" i="9" s="1"/>
  <c r="E94" i="9" s="1"/>
  <c r="E103" i="9" s="1"/>
  <c r="E112" i="9" s="1"/>
  <c r="E121" i="9" s="1"/>
  <c r="E130" i="9" s="1"/>
  <c r="E139" i="9" s="1"/>
  <c r="E148" i="9" s="1"/>
  <c r="E157" i="9" s="1"/>
  <c r="E166" i="9" s="1"/>
  <c r="E23" i="9"/>
  <c r="E32" i="9" s="1"/>
  <c r="E41" i="9" s="1"/>
  <c r="E50" i="9" s="1"/>
  <c r="E59" i="9" s="1"/>
  <c r="E68" i="9" s="1"/>
  <c r="E77" i="9" s="1"/>
  <c r="E86" i="9" s="1"/>
  <c r="E95" i="9" s="1"/>
  <c r="E104" i="9" s="1"/>
  <c r="E113" i="9" s="1"/>
  <c r="E122" i="9" s="1"/>
  <c r="E131" i="9" s="1"/>
  <c r="E140" i="9" s="1"/>
  <c r="E149" i="9" s="1"/>
  <c r="E158" i="9" s="1"/>
  <c r="E167" i="9" s="1"/>
  <c r="E24" i="9"/>
  <c r="E33" i="9" s="1"/>
  <c r="E42" i="9" s="1"/>
  <c r="E51" i="9" s="1"/>
  <c r="E60" i="9" s="1"/>
  <c r="E69" i="9" s="1"/>
  <c r="E78" i="9" s="1"/>
  <c r="E87" i="9" s="1"/>
  <c r="E96" i="9" s="1"/>
  <c r="E105" i="9" s="1"/>
  <c r="E114" i="9" s="1"/>
  <c r="E123" i="9" s="1"/>
  <c r="E132" i="9" s="1"/>
  <c r="E141" i="9" s="1"/>
  <c r="E150" i="9" s="1"/>
  <c r="E159" i="9" s="1"/>
  <c r="E168" i="9" s="1"/>
  <c r="E25" i="9"/>
  <c r="E34" i="9" s="1"/>
  <c r="E43" i="9" s="1"/>
  <c r="E52" i="9" s="1"/>
  <c r="E61" i="9" s="1"/>
  <c r="E70" i="9" s="1"/>
  <c r="E79" i="9" s="1"/>
  <c r="E88" i="9" s="1"/>
  <c r="E97" i="9" s="1"/>
  <c r="E106" i="9" s="1"/>
  <c r="E115" i="9" s="1"/>
  <c r="E124" i="9" s="1"/>
  <c r="E133" i="9" s="1"/>
  <c r="E142" i="9" s="1"/>
  <c r="E151" i="9" s="1"/>
  <c r="E160" i="9" s="1"/>
  <c r="E26" i="9"/>
  <c r="E35" i="9" s="1"/>
  <c r="E44" i="9" s="1"/>
  <c r="E53" i="9" s="1"/>
  <c r="E62" i="9" s="1"/>
  <c r="E71" i="9" s="1"/>
  <c r="E80" i="9" s="1"/>
  <c r="E89" i="9" s="1"/>
  <c r="E98" i="9" s="1"/>
  <c r="E107" i="9" s="1"/>
  <c r="E116" i="9" s="1"/>
  <c r="E125" i="9" s="1"/>
  <c r="E134" i="9" s="1"/>
  <c r="E143" i="9" s="1"/>
  <c r="E152" i="9" s="1"/>
  <c r="E161" i="9" s="1"/>
  <c r="E27" i="9"/>
  <c r="E36" i="9" s="1"/>
  <c r="E45" i="9" s="1"/>
  <c r="E54" i="9" s="1"/>
  <c r="E63" i="9" s="1"/>
  <c r="E72" i="9" s="1"/>
  <c r="E81" i="9" s="1"/>
  <c r="E90" i="9" s="1"/>
  <c r="E99" i="9" s="1"/>
  <c r="E108" i="9" s="1"/>
  <c r="E117" i="9" s="1"/>
  <c r="E126" i="9" s="1"/>
  <c r="E135" i="9" s="1"/>
  <c r="E144" i="9" s="1"/>
  <c r="E153" i="9" s="1"/>
  <c r="E162" i="9" s="1"/>
  <c r="E28" i="9"/>
  <c r="E37" i="9" s="1"/>
  <c r="E46" i="9" s="1"/>
  <c r="E55" i="9" s="1"/>
  <c r="E64" i="9" s="1"/>
  <c r="E73" i="9" s="1"/>
  <c r="E82" i="9" s="1"/>
  <c r="E91" i="9" s="1"/>
  <c r="E100" i="9" s="1"/>
  <c r="E109" i="9" s="1"/>
  <c r="E118" i="9" s="1"/>
  <c r="E127" i="9" s="1"/>
  <c r="E136" i="9" s="1"/>
  <c r="E145" i="9" s="1"/>
  <c r="E154" i="9" s="1"/>
  <c r="E163" i="9" s="1"/>
  <c r="E20" i="9"/>
  <c r="E29" i="9" s="1"/>
  <c r="E38" i="9" s="1"/>
  <c r="E47" i="9" s="1"/>
  <c r="E56" i="9" s="1"/>
  <c r="E65" i="9" s="1"/>
  <c r="E74" i="9" s="1"/>
  <c r="E83" i="9" s="1"/>
  <c r="E92" i="9" s="1"/>
  <c r="E101" i="9" s="1"/>
  <c r="E110" i="9" s="1"/>
  <c r="E119" i="9" s="1"/>
  <c r="E128" i="9" s="1"/>
  <c r="E137" i="9" s="1"/>
  <c r="E146" i="9" s="1"/>
  <c r="E155" i="9" s="1"/>
  <c r="E164" i="9" s="1"/>
  <c r="B101" i="9" l="1"/>
  <c r="B110" i="9" s="1"/>
  <c r="B119" i="9" s="1"/>
  <c r="B128" i="9" s="1"/>
  <c r="B121" i="9"/>
  <c r="B130" i="9" s="1"/>
</calcChain>
</file>

<file path=xl/sharedStrings.xml><?xml version="1.0" encoding="utf-8"?>
<sst xmlns="http://schemas.openxmlformats.org/spreadsheetml/2006/main" count="2421" uniqueCount="196">
  <si>
    <t>id</t>
  </si>
  <si>
    <t>X38</t>
  </si>
  <si>
    <t>T29</t>
  </si>
  <si>
    <t>Q35</t>
  </si>
  <si>
    <t>OZ04</t>
  </si>
  <si>
    <t>FZ20</t>
  </si>
  <si>
    <t>DZ27</t>
  </si>
  <si>
    <t>VZ06</t>
  </si>
  <si>
    <t>hora</t>
  </si>
  <si>
    <t>peso (g)</t>
  </si>
  <si>
    <t>diferecia peso</t>
  </si>
  <si>
    <t>peso fresco</t>
  </si>
  <si>
    <t>Q36</t>
  </si>
  <si>
    <t>W08</t>
  </si>
  <si>
    <t>T16</t>
  </si>
  <si>
    <t>RZ04</t>
  </si>
  <si>
    <t>HZ04</t>
  </si>
  <si>
    <t>BZ07</t>
  </si>
  <si>
    <t>VZ01</t>
  </si>
  <si>
    <t>Peso fresco</t>
  </si>
  <si>
    <t>fecha</t>
  </si>
  <si>
    <t>minutos</t>
  </si>
  <si>
    <t>diferencia peso</t>
  </si>
  <si>
    <t xml:space="preserve">fecha </t>
  </si>
  <si>
    <t>ID</t>
  </si>
  <si>
    <t>OZ20</t>
  </si>
  <si>
    <t>VZ28</t>
  </si>
  <si>
    <t>FZ05</t>
  </si>
  <si>
    <t>V20</t>
  </si>
  <si>
    <t>Q29</t>
  </si>
  <si>
    <t>Peso_fresco</t>
  </si>
  <si>
    <t>diferencia de peso</t>
  </si>
  <si>
    <t xml:space="preserve">minutos </t>
  </si>
  <si>
    <t>DZ20</t>
  </si>
  <si>
    <t>T29_021</t>
  </si>
  <si>
    <t>peso_saturado</t>
  </si>
  <si>
    <t xml:space="preserve">control </t>
  </si>
  <si>
    <t xml:space="preserve">peso_seco </t>
  </si>
  <si>
    <t>poblacion</t>
  </si>
  <si>
    <t>Talpa de Allende</t>
  </si>
  <si>
    <t>Tecoxco</t>
  </si>
  <si>
    <t>Huatusco</t>
  </si>
  <si>
    <t>Cuzalapa</t>
  </si>
  <si>
    <t>Yetzelalag</t>
  </si>
  <si>
    <t>Zongolica</t>
  </si>
  <si>
    <t>Villa Cacoma</t>
  </si>
  <si>
    <t xml:space="preserve">tratamiento </t>
  </si>
  <si>
    <t>miinutos</t>
  </si>
  <si>
    <t>peso</t>
  </si>
  <si>
    <t>V14</t>
  </si>
  <si>
    <t>RZ19</t>
  </si>
  <si>
    <t>BZ06</t>
  </si>
  <si>
    <t>VZ26</t>
  </si>
  <si>
    <t>FZ01</t>
  </si>
  <si>
    <t>S38</t>
  </si>
  <si>
    <t>T30</t>
  </si>
  <si>
    <t>Tiempo</t>
  </si>
  <si>
    <t>Peso saturado</t>
  </si>
  <si>
    <t>diferencia_peso</t>
  </si>
  <si>
    <t>EZ14</t>
  </si>
  <si>
    <t>S24</t>
  </si>
  <si>
    <t>X42</t>
  </si>
  <si>
    <t>RZ03</t>
  </si>
  <si>
    <t>UZ20</t>
  </si>
  <si>
    <t>JZ18</t>
  </si>
  <si>
    <t>R25</t>
  </si>
  <si>
    <t>peso saturado</t>
  </si>
  <si>
    <t>PZ03</t>
  </si>
  <si>
    <t>U53</t>
  </si>
  <si>
    <t>X03</t>
  </si>
  <si>
    <t>.</t>
  </si>
  <si>
    <t>R21</t>
  </si>
  <si>
    <t>Z14</t>
  </si>
  <si>
    <t>PZ08</t>
  </si>
  <si>
    <t>HZ19</t>
  </si>
  <si>
    <t>VZ29</t>
  </si>
  <si>
    <t>S46</t>
  </si>
  <si>
    <t>Sequia</t>
  </si>
  <si>
    <t>CZ16</t>
  </si>
  <si>
    <t>VZ09</t>
  </si>
  <si>
    <t>W70</t>
  </si>
  <si>
    <t>R03</t>
  </si>
  <si>
    <t>VZ17</t>
  </si>
  <si>
    <t>OZ03</t>
  </si>
  <si>
    <t>R27</t>
  </si>
  <si>
    <t>MZ04</t>
  </si>
  <si>
    <t>CZ03</t>
  </si>
  <si>
    <t>S20</t>
  </si>
  <si>
    <t>U10</t>
  </si>
  <si>
    <t>Q38</t>
  </si>
  <si>
    <t>UZ16</t>
  </si>
  <si>
    <t>Z06</t>
  </si>
  <si>
    <t>AZ18</t>
  </si>
  <si>
    <t>U33</t>
  </si>
  <si>
    <t>LZ10</t>
  </si>
  <si>
    <t>JZ08</t>
  </si>
  <si>
    <t>PZ11</t>
  </si>
  <si>
    <t>VZ14</t>
  </si>
  <si>
    <t>MZ15</t>
  </si>
  <si>
    <t>UZ17</t>
  </si>
  <si>
    <t>Q19</t>
  </si>
  <si>
    <t>S10</t>
  </si>
  <si>
    <t>Z12</t>
  </si>
  <si>
    <t>Q09</t>
  </si>
  <si>
    <t>X13</t>
  </si>
  <si>
    <t>EZ24</t>
  </si>
  <si>
    <t>AZ12</t>
  </si>
  <si>
    <t>AZ08</t>
  </si>
  <si>
    <t>UZ06</t>
  </si>
  <si>
    <t>UZ19</t>
  </si>
  <si>
    <t>S40</t>
  </si>
  <si>
    <t>W25</t>
  </si>
  <si>
    <t>TZ11</t>
  </si>
  <si>
    <t>R30</t>
  </si>
  <si>
    <t>LZ09</t>
  </si>
  <si>
    <t>UZ22</t>
  </si>
  <si>
    <t>U70</t>
  </si>
  <si>
    <t>Z11</t>
  </si>
  <si>
    <t>KZ06</t>
  </si>
  <si>
    <t>tiempo</t>
  </si>
  <si>
    <t>i</t>
  </si>
  <si>
    <t>V05</t>
  </si>
  <si>
    <t>W72</t>
  </si>
  <si>
    <t>V24</t>
  </si>
  <si>
    <t>S27</t>
  </si>
  <si>
    <t>Q06</t>
  </si>
  <si>
    <t>KZ16</t>
  </si>
  <si>
    <t>JZ09</t>
  </si>
  <si>
    <t>UZ26</t>
  </si>
  <si>
    <t>diferencia</t>
  </si>
  <si>
    <t>MZ10</t>
  </si>
  <si>
    <t>LZ16</t>
  </si>
  <si>
    <t>KZ10</t>
  </si>
  <si>
    <t>UZ21</t>
  </si>
  <si>
    <t>U63</t>
  </si>
  <si>
    <t>U47</t>
  </si>
  <si>
    <t>290/VZ06</t>
  </si>
  <si>
    <t>VZ34</t>
  </si>
  <si>
    <t>MESA 02</t>
  </si>
  <si>
    <t>NZ28</t>
  </si>
  <si>
    <t>OZ18</t>
  </si>
  <si>
    <t>EZ08</t>
  </si>
  <si>
    <t>X47</t>
  </si>
  <si>
    <t>S45</t>
  </si>
  <si>
    <t>U37</t>
  </si>
  <si>
    <t>RZ20</t>
  </si>
  <si>
    <t>TZ03</t>
  </si>
  <si>
    <t>PZ01</t>
  </si>
  <si>
    <t>V27</t>
  </si>
  <si>
    <t>S54</t>
  </si>
  <si>
    <t>REVISR ID</t>
  </si>
  <si>
    <t>R19</t>
  </si>
  <si>
    <t>S28</t>
  </si>
  <si>
    <t>R32</t>
  </si>
  <si>
    <t>Q08</t>
  </si>
  <si>
    <t>V43</t>
  </si>
  <si>
    <t>R26</t>
  </si>
  <si>
    <t>Revisar</t>
  </si>
  <si>
    <t>BZ24</t>
  </si>
  <si>
    <t>VZ25</t>
  </si>
  <si>
    <t>R16</t>
  </si>
  <si>
    <t>R17</t>
  </si>
  <si>
    <t>S17</t>
  </si>
  <si>
    <t>DZ16</t>
  </si>
  <si>
    <t>Q24</t>
  </si>
  <si>
    <t>R38</t>
  </si>
  <si>
    <t>VZ16</t>
  </si>
  <si>
    <t>VZ21</t>
  </si>
  <si>
    <t>X10</t>
  </si>
  <si>
    <t>UZ13</t>
  </si>
  <si>
    <t>OZ15</t>
  </si>
  <si>
    <t>DZ19</t>
  </si>
  <si>
    <t>S21</t>
  </si>
  <si>
    <t>R41</t>
  </si>
  <si>
    <t>T18</t>
  </si>
  <si>
    <t>V07</t>
  </si>
  <si>
    <t>V42</t>
  </si>
  <si>
    <t>VZ04</t>
  </si>
  <si>
    <t>TZ12</t>
  </si>
  <si>
    <t>S51</t>
  </si>
  <si>
    <t>DZ04</t>
  </si>
  <si>
    <t>X31</t>
  </si>
  <si>
    <t>OZ07</t>
  </si>
  <si>
    <t>R29</t>
  </si>
  <si>
    <t>FZ11</t>
  </si>
  <si>
    <t>UZ08</t>
  </si>
  <si>
    <t>S26</t>
  </si>
  <si>
    <t>base_2</t>
  </si>
  <si>
    <t>base_1</t>
  </si>
  <si>
    <t>OZ05</t>
  </si>
  <si>
    <t>Mesa 03</t>
  </si>
  <si>
    <t xml:space="preserve"> c</t>
  </si>
  <si>
    <t xml:space="preserve">Q35 </t>
  </si>
  <si>
    <t xml:space="preserve">Control </t>
  </si>
  <si>
    <t>area_foliar</t>
  </si>
  <si>
    <t>X06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</si>
</sst>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"/>
    <numFmt numFmtId="165" formatCode="0.000"/>
    <numFmt numFmtId="166" formatCode="0.0000"/>
    <numFmt numFmtId="167" formatCode="0.0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20" fontId="0" fillId="0" borderId="0" xfId="0" applyNumberFormat="1"/>
    <xf numFmtId="164" fontId="0" fillId="0" borderId="0" xfId="0" applyNumberFormat="1"/>
    <xf numFmtId="1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0" xfId="0" applyFont="1"/>
    <xf numFmtId="1" fontId="0" fillId="0" borderId="0" xfId="0" applyNumberFormat="1"/>
    <xf numFmtId="20" fontId="1" fillId="0" borderId="0" xfId="0" applyNumberFormat="1" applyFont="1"/>
    <xf numFmtId="167" fontId="0" fillId="0" borderId="0" xfId="0" applyNumberFormat="1"/>
    <xf numFmtId="0" fontId="0" fillId="2" borderId="0" xfId="0" applyFill="1"/>
    <xf numFmtId="14" fontId="1" fillId="0" borderId="0" xfId="0" applyNumberFormat="1" applyFont="1"/>
    <xf numFmtId="0" fontId="0" fillId="3" borderId="0" xfId="0" applyFill="1"/>
    <xf numFmtId="166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D0888-B160-4BA8-B327-AD0D4AD54C05}">
  <dimension ref="A1:G1009"/>
  <sheetViews>
    <sheetView workbookViewId="0">
      <selection activeCell="F1009" sqref="A1:F1009"/>
    </sheetView>
  </sheetViews>
  <sheetFormatPr baseColWidth="10" defaultRowHeight="14.4" x14ac:dyDescent="0.3"/>
  <cols>
    <col min="3" max="3" width="18.109375" style="5" customWidth="1"/>
    <col min="5" max="5" width="15.21875" bestFit="1" customWidth="1"/>
  </cols>
  <sheetData>
    <row r="1" spans="1:7" s="6" customFormat="1" x14ac:dyDescent="0.3">
      <c r="A1" s="6" t="s">
        <v>0</v>
      </c>
      <c r="B1" s="6" t="s">
        <v>47</v>
      </c>
      <c r="C1" s="13" t="s">
        <v>10</v>
      </c>
      <c r="D1" s="6" t="s">
        <v>9</v>
      </c>
      <c r="E1" s="6" t="s">
        <v>8</v>
      </c>
      <c r="F1" s="6" t="s">
        <v>23</v>
      </c>
    </row>
    <row r="2" spans="1:7" x14ac:dyDescent="0.3">
      <c r="A2" t="s">
        <v>1</v>
      </c>
      <c r="B2">
        <f>(COUNTIF($A$2:A2,A2)-1)*20</f>
        <v>0</v>
      </c>
      <c r="C2" s="5">
        <f>0/20</f>
        <v>0</v>
      </c>
      <c r="D2">
        <v>3.2614999999999998</v>
      </c>
      <c r="E2" s="1">
        <v>0.31944444444444442</v>
      </c>
      <c r="F2" s="3">
        <v>46120</v>
      </c>
      <c r="G2" s="7"/>
    </row>
    <row r="3" spans="1:7" x14ac:dyDescent="0.3">
      <c r="A3" t="s">
        <v>4</v>
      </c>
      <c r="B3">
        <f>(COUNTIF($A$2:A3,A3)-1)*20</f>
        <v>0</v>
      </c>
      <c r="C3" s="5">
        <v>0</v>
      </c>
      <c r="D3">
        <v>2.7126999999999999</v>
      </c>
      <c r="E3" s="1">
        <v>0.32291666666666669</v>
      </c>
      <c r="F3" s="3">
        <v>46120</v>
      </c>
    </row>
    <row r="4" spans="1:7" x14ac:dyDescent="0.3">
      <c r="A4" t="s">
        <v>5</v>
      </c>
      <c r="B4">
        <f>(COUNTIF($A$2:A4,A4)-1)*20</f>
        <v>0</v>
      </c>
      <c r="C4" s="5">
        <v>0</v>
      </c>
      <c r="D4">
        <v>2.9636</v>
      </c>
      <c r="E4" s="1">
        <v>0.32361111111111113</v>
      </c>
      <c r="F4" s="3">
        <v>46120</v>
      </c>
    </row>
    <row r="5" spans="1:7" x14ac:dyDescent="0.3">
      <c r="A5" t="s">
        <v>6</v>
      </c>
      <c r="B5">
        <f>(COUNTIF($A$2:A5,A5)-1)*20</f>
        <v>0</v>
      </c>
      <c r="C5" s="5">
        <v>0</v>
      </c>
      <c r="D5">
        <v>3.0196000000000001</v>
      </c>
      <c r="E5" s="1">
        <v>0.3263888888888889</v>
      </c>
      <c r="F5" s="3">
        <v>46120</v>
      </c>
    </row>
    <row r="6" spans="1:7" x14ac:dyDescent="0.3">
      <c r="A6" t="s">
        <v>7</v>
      </c>
      <c r="B6">
        <f>(COUNTIF($A$2:A6,A6)-1)*20</f>
        <v>0</v>
      </c>
      <c r="C6" s="5">
        <v>0</v>
      </c>
      <c r="D6">
        <v>2.2422</v>
      </c>
      <c r="E6" s="1">
        <v>0.32708333333333334</v>
      </c>
      <c r="F6" s="3">
        <v>46120</v>
      </c>
    </row>
    <row r="7" spans="1:7" x14ac:dyDescent="0.3">
      <c r="A7" t="s">
        <v>1</v>
      </c>
      <c r="B7">
        <v>20</v>
      </c>
      <c r="C7" s="5">
        <f t="shared" ref="C7:C38" si="0">(D2-D7)/20</f>
        <v>1.0749999999999816E-3</v>
      </c>
      <c r="D7">
        <v>3.24</v>
      </c>
      <c r="E7" s="1">
        <f t="shared" ref="E7:E16" si="1">E2+(20/1440)</f>
        <v>0.33333333333333331</v>
      </c>
      <c r="F7" s="3">
        <v>46120</v>
      </c>
      <c r="G7" s="7"/>
    </row>
    <row r="8" spans="1:7" x14ac:dyDescent="0.3">
      <c r="A8" t="s">
        <v>4</v>
      </c>
      <c r="B8">
        <f>(COUNTIF($A$2:A8,A8)-1)*20</f>
        <v>20</v>
      </c>
      <c r="C8" s="5">
        <f t="shared" si="0"/>
        <v>3.649999999999931E-4</v>
      </c>
      <c r="D8">
        <v>2.7054</v>
      </c>
      <c r="E8" s="1">
        <f t="shared" si="1"/>
        <v>0.33680555555555558</v>
      </c>
      <c r="F8" s="3">
        <v>46120</v>
      </c>
    </row>
    <row r="9" spans="1:7" x14ac:dyDescent="0.3">
      <c r="A9" t="s">
        <v>5</v>
      </c>
      <c r="B9">
        <f>(COUNTIF($A$2:A9,A9)-1)*20</f>
        <v>20</v>
      </c>
      <c r="C9" s="5">
        <f t="shared" si="0"/>
        <v>1.4399999999999968E-3</v>
      </c>
      <c r="D9">
        <v>2.9348000000000001</v>
      </c>
      <c r="E9" s="1">
        <f t="shared" si="1"/>
        <v>0.33750000000000002</v>
      </c>
      <c r="F9" s="3">
        <v>46120</v>
      </c>
    </row>
    <row r="10" spans="1:7" x14ac:dyDescent="0.3">
      <c r="A10" t="s">
        <v>6</v>
      </c>
      <c r="B10">
        <f>(COUNTIF($A$2:A10,A10)-1)*20</f>
        <v>20</v>
      </c>
      <c r="C10" s="5">
        <f t="shared" si="0"/>
        <v>1.8000000000000017E-3</v>
      </c>
      <c r="D10">
        <v>2.9836</v>
      </c>
      <c r="E10" s="1">
        <f t="shared" si="1"/>
        <v>0.34027777777777779</v>
      </c>
      <c r="F10" s="3">
        <v>46120</v>
      </c>
    </row>
    <row r="11" spans="1:7" x14ac:dyDescent="0.3">
      <c r="A11" t="s">
        <v>7</v>
      </c>
      <c r="B11">
        <f>(COUNTIF($A$2:A11,A11)-1)*20</f>
        <v>20</v>
      </c>
      <c r="C11" s="5">
        <f t="shared" si="0"/>
        <v>9.0999999999998862E-4</v>
      </c>
      <c r="D11">
        <v>2.2240000000000002</v>
      </c>
      <c r="E11" s="1">
        <f t="shared" si="1"/>
        <v>0.34097222222222223</v>
      </c>
      <c r="F11" s="3">
        <v>46120</v>
      </c>
    </row>
    <row r="12" spans="1:7" x14ac:dyDescent="0.3">
      <c r="A12" t="s">
        <v>1</v>
      </c>
      <c r="B12">
        <f>(COUNTIF($A$2:A12,A12)-1)*20</f>
        <v>40</v>
      </c>
      <c r="C12" s="5">
        <f t="shared" si="0"/>
        <v>1.7650000000000166E-3</v>
      </c>
      <c r="D12">
        <v>3.2046999999999999</v>
      </c>
      <c r="E12" s="1">
        <f t="shared" si="1"/>
        <v>0.34722222222222221</v>
      </c>
      <c r="F12" s="3">
        <v>46120</v>
      </c>
      <c r="G12" s="7"/>
    </row>
    <row r="13" spans="1:7" x14ac:dyDescent="0.3">
      <c r="A13" t="s">
        <v>4</v>
      </c>
      <c r="B13">
        <f>(COUNTIF($A$2:A13,A13)-1)*20</f>
        <v>40</v>
      </c>
      <c r="C13" s="5">
        <f t="shared" si="0"/>
        <v>2.0450000000000077E-3</v>
      </c>
      <c r="D13">
        <v>2.6644999999999999</v>
      </c>
      <c r="E13" s="1">
        <f t="shared" si="1"/>
        <v>0.35069444444444448</v>
      </c>
      <c r="F13" s="3">
        <v>46120</v>
      </c>
    </row>
    <row r="14" spans="1:7" x14ac:dyDescent="0.3">
      <c r="A14" t="s">
        <v>5</v>
      </c>
      <c r="B14">
        <f>(COUNTIF($A$2:A14,A14)-1)*20</f>
        <v>40</v>
      </c>
      <c r="C14" s="5">
        <f t="shared" si="0"/>
        <v>1.1449999999999961E-3</v>
      </c>
      <c r="D14">
        <v>2.9119000000000002</v>
      </c>
      <c r="E14" s="1">
        <f t="shared" si="1"/>
        <v>0.35138888888888892</v>
      </c>
      <c r="F14" s="3">
        <v>46120</v>
      </c>
    </row>
    <row r="15" spans="1:7" x14ac:dyDescent="0.3">
      <c r="A15" t="s">
        <v>6</v>
      </c>
      <c r="B15">
        <f>(COUNTIF($A$2:A15,A15)-1)*20</f>
        <v>40</v>
      </c>
      <c r="C15" s="5">
        <f t="shared" si="0"/>
        <v>1.3849999999999917E-3</v>
      </c>
      <c r="D15">
        <v>2.9559000000000002</v>
      </c>
      <c r="E15" s="1">
        <f t="shared" si="1"/>
        <v>0.35416666666666669</v>
      </c>
      <c r="F15" s="3">
        <v>46120</v>
      </c>
    </row>
    <row r="16" spans="1:7" x14ac:dyDescent="0.3">
      <c r="A16" t="s">
        <v>7</v>
      </c>
      <c r="B16">
        <f>(COUNTIF($A$2:A16,A16)-1)*20</f>
        <v>40</v>
      </c>
      <c r="C16" s="5">
        <f t="shared" si="0"/>
        <v>6.5000000000001721E-4</v>
      </c>
      <c r="D16">
        <v>2.2109999999999999</v>
      </c>
      <c r="E16" s="1">
        <f t="shared" si="1"/>
        <v>0.35486111111111113</v>
      </c>
      <c r="F16" s="3">
        <v>46120</v>
      </c>
    </row>
    <row r="17" spans="1:7" x14ac:dyDescent="0.3">
      <c r="A17" t="s">
        <v>1</v>
      </c>
      <c r="B17">
        <f>(COUNTIF($A$2:A17,A17)-1)*20</f>
        <v>60</v>
      </c>
      <c r="C17" s="5">
        <f t="shared" si="0"/>
        <v>2.5399999999999867E-3</v>
      </c>
      <c r="D17">
        <v>3.1539000000000001</v>
      </c>
      <c r="E17" s="1">
        <v>0.3611111111111111</v>
      </c>
      <c r="F17" s="3">
        <v>46120</v>
      </c>
      <c r="G17" s="7"/>
    </row>
    <row r="18" spans="1:7" x14ac:dyDescent="0.3">
      <c r="A18" t="s">
        <v>4</v>
      </c>
      <c r="B18">
        <f>(COUNTIF($A$2:A18,A18)-1)*20</f>
        <v>60</v>
      </c>
      <c r="C18" s="5">
        <f t="shared" si="0"/>
        <v>1.0099999999999998E-3</v>
      </c>
      <c r="D18">
        <v>2.6442999999999999</v>
      </c>
      <c r="E18" s="1">
        <v>0.36458333333333331</v>
      </c>
      <c r="F18" s="3">
        <v>46120</v>
      </c>
    </row>
    <row r="19" spans="1:7" x14ac:dyDescent="0.3">
      <c r="A19" t="s">
        <v>5</v>
      </c>
      <c r="B19">
        <f>(COUNTIF($A$2:A19,A19)-1)*20</f>
        <v>60</v>
      </c>
      <c r="C19" s="5">
        <f t="shared" si="0"/>
        <v>1.1300000000000088E-3</v>
      </c>
      <c r="D19">
        <v>2.8893</v>
      </c>
      <c r="E19" s="1">
        <v>0.36527777777777776</v>
      </c>
      <c r="F19" s="3">
        <v>46120</v>
      </c>
    </row>
    <row r="20" spans="1:7" x14ac:dyDescent="0.3">
      <c r="A20" t="s">
        <v>6</v>
      </c>
      <c r="B20">
        <f>(COUNTIF($A$2:A20,A20)-1)*20</f>
        <v>60</v>
      </c>
      <c r="C20" s="5">
        <f t="shared" si="0"/>
        <v>1.3100000000000112E-3</v>
      </c>
      <c r="D20">
        <v>2.9297</v>
      </c>
      <c r="E20" s="1">
        <v>0.36805555555555558</v>
      </c>
      <c r="F20" s="3">
        <v>46120</v>
      </c>
    </row>
    <row r="21" spans="1:7" x14ac:dyDescent="0.3">
      <c r="A21" t="s">
        <v>7</v>
      </c>
      <c r="B21">
        <f>(COUNTIF($A$2:A21,A21)-1)*20</f>
        <v>60</v>
      </c>
      <c r="C21" s="5">
        <f t="shared" si="0"/>
        <v>7.2499999999999789E-4</v>
      </c>
      <c r="D21">
        <v>2.1964999999999999</v>
      </c>
      <c r="E21" s="1">
        <v>0.36875000000000002</v>
      </c>
      <c r="F21" s="3">
        <v>46120</v>
      </c>
    </row>
    <row r="22" spans="1:7" x14ac:dyDescent="0.3">
      <c r="A22" t="s">
        <v>1</v>
      </c>
      <c r="B22">
        <f>(COUNTIF($A$2:A22,A22)-1)*20</f>
        <v>80</v>
      </c>
      <c r="C22" s="5">
        <f t="shared" si="0"/>
        <v>1.5600000000000058E-3</v>
      </c>
      <c r="D22">
        <v>3.1227</v>
      </c>
      <c r="E22" s="1">
        <f t="shared" ref="E22:E53" si="2">E17+(20/1440)</f>
        <v>0.375</v>
      </c>
      <c r="F22" s="3">
        <v>46120</v>
      </c>
      <c r="G22" s="7"/>
    </row>
    <row r="23" spans="1:7" x14ac:dyDescent="0.3">
      <c r="A23" t="s">
        <v>4</v>
      </c>
      <c r="B23">
        <f>(COUNTIF($A$2:A23,A23)-1)*20</f>
        <v>80</v>
      </c>
      <c r="C23" s="5">
        <f t="shared" si="0"/>
        <v>8.4499999999998465E-4</v>
      </c>
      <c r="D23">
        <v>2.6274000000000002</v>
      </c>
      <c r="E23" s="1">
        <f t="shared" si="2"/>
        <v>0.37847222222222221</v>
      </c>
      <c r="F23" s="3">
        <v>46120</v>
      </c>
    </row>
    <row r="24" spans="1:7" x14ac:dyDescent="0.3">
      <c r="A24" t="s">
        <v>5</v>
      </c>
      <c r="B24">
        <f>(COUNTIF($A$2:A24,A24)-1)*20</f>
        <v>80</v>
      </c>
      <c r="C24" s="5">
        <f t="shared" si="0"/>
        <v>9.9499999999999025E-4</v>
      </c>
      <c r="D24">
        <v>2.8694000000000002</v>
      </c>
      <c r="E24" s="1">
        <f t="shared" si="2"/>
        <v>0.37916666666666665</v>
      </c>
      <c r="F24" s="3">
        <v>46120</v>
      </c>
    </row>
    <row r="25" spans="1:7" x14ac:dyDescent="0.3">
      <c r="A25" t="s">
        <v>6</v>
      </c>
      <c r="B25">
        <f>(COUNTIF($A$2:A25,A25)-1)*20</f>
        <v>80</v>
      </c>
      <c r="C25" s="5">
        <f t="shared" si="0"/>
        <v>1.2850000000000027E-3</v>
      </c>
      <c r="D25">
        <v>2.9039999999999999</v>
      </c>
      <c r="E25" s="1">
        <f t="shared" si="2"/>
        <v>0.38194444444444448</v>
      </c>
      <c r="F25" s="3">
        <v>46120</v>
      </c>
    </row>
    <row r="26" spans="1:7" x14ac:dyDescent="0.3">
      <c r="A26" t="s">
        <v>7</v>
      </c>
      <c r="B26">
        <f>(COUNTIF($A$2:A26,A26)-1)*20</f>
        <v>80</v>
      </c>
      <c r="C26" s="5">
        <f t="shared" si="0"/>
        <v>6.5999999999999392E-4</v>
      </c>
      <c r="D26">
        <v>2.1833</v>
      </c>
      <c r="E26" s="1">
        <f t="shared" si="2"/>
        <v>0.38263888888888892</v>
      </c>
      <c r="F26" s="3">
        <v>46120</v>
      </c>
    </row>
    <row r="27" spans="1:7" x14ac:dyDescent="0.3">
      <c r="A27" t="s">
        <v>1</v>
      </c>
      <c r="B27">
        <f>(COUNTIF($A$2:A27,A27)-1)*20</f>
        <v>100</v>
      </c>
      <c r="C27" s="5">
        <f t="shared" si="0"/>
        <v>1.4399999999999968E-3</v>
      </c>
      <c r="D27">
        <v>3.0939000000000001</v>
      </c>
      <c r="E27" s="1">
        <f t="shared" si="2"/>
        <v>0.3888888888888889</v>
      </c>
      <c r="F27" s="3">
        <v>46120</v>
      </c>
      <c r="G27" s="7"/>
    </row>
    <row r="28" spans="1:7" x14ac:dyDescent="0.3">
      <c r="A28" t="s">
        <v>4</v>
      </c>
      <c r="B28">
        <f>(COUNTIF($A$2:A28,A28)-1)*20</f>
        <v>100</v>
      </c>
      <c r="C28" s="5">
        <f t="shared" si="0"/>
        <v>8.4000000000001847E-4</v>
      </c>
      <c r="D28">
        <v>2.6105999999999998</v>
      </c>
      <c r="E28" s="1">
        <f t="shared" si="2"/>
        <v>0.3923611111111111</v>
      </c>
      <c r="F28" s="3">
        <v>46120</v>
      </c>
    </row>
    <row r="29" spans="1:7" x14ac:dyDescent="0.3">
      <c r="A29" t="s">
        <v>5</v>
      </c>
      <c r="B29">
        <f>(COUNTIF($A$2:A29,A29)-1)*20</f>
        <v>100</v>
      </c>
      <c r="C29" s="5">
        <f t="shared" si="0"/>
        <v>9.4500000000001809E-4</v>
      </c>
      <c r="D29">
        <v>2.8504999999999998</v>
      </c>
      <c r="E29" s="1">
        <f t="shared" si="2"/>
        <v>0.39305555555555555</v>
      </c>
      <c r="F29" s="3">
        <v>46120</v>
      </c>
    </row>
    <row r="30" spans="1:7" x14ac:dyDescent="0.3">
      <c r="A30" t="s">
        <v>6</v>
      </c>
      <c r="B30">
        <f>(COUNTIF($A$2:A30,A30)-1)*20</f>
        <v>100</v>
      </c>
      <c r="C30" s="5">
        <f t="shared" si="0"/>
        <v>1.3900000000000023E-3</v>
      </c>
      <c r="D30">
        <v>2.8761999999999999</v>
      </c>
      <c r="E30" s="1">
        <f t="shared" si="2"/>
        <v>0.39583333333333337</v>
      </c>
      <c r="F30" s="3">
        <v>46120</v>
      </c>
    </row>
    <row r="31" spans="1:7" x14ac:dyDescent="0.3">
      <c r="A31" t="s">
        <v>7</v>
      </c>
      <c r="B31">
        <f>(COUNTIF($A$2:A31,A31)-1)*20</f>
        <v>100</v>
      </c>
      <c r="C31" s="5">
        <f t="shared" si="0"/>
        <v>6.1999999999999837E-4</v>
      </c>
      <c r="D31">
        <v>2.1709000000000001</v>
      </c>
      <c r="E31" s="1">
        <f t="shared" si="2"/>
        <v>0.39652777777777781</v>
      </c>
      <c r="F31" s="3">
        <v>46120</v>
      </c>
    </row>
    <row r="32" spans="1:7" x14ac:dyDescent="0.3">
      <c r="A32" t="s">
        <v>1</v>
      </c>
      <c r="B32">
        <f>(COUNTIF($A$2:A32,A32)-1)*20</f>
        <v>120</v>
      </c>
      <c r="C32" s="5">
        <f t="shared" si="0"/>
        <v>1.2299999999999978E-3</v>
      </c>
      <c r="D32">
        <v>3.0693000000000001</v>
      </c>
      <c r="E32" s="1">
        <f t="shared" si="2"/>
        <v>0.40277777777777779</v>
      </c>
      <c r="F32" s="3">
        <v>46120</v>
      </c>
      <c r="G32" s="7"/>
    </row>
    <row r="33" spans="1:7" x14ac:dyDescent="0.3">
      <c r="A33" t="s">
        <v>4</v>
      </c>
      <c r="B33">
        <f>(COUNTIF($A$2:A33,A33)-1)*20</f>
        <v>120</v>
      </c>
      <c r="C33" s="5">
        <f t="shared" si="0"/>
        <v>8.1999999999999846E-4</v>
      </c>
      <c r="D33">
        <v>2.5941999999999998</v>
      </c>
      <c r="E33" s="1">
        <f t="shared" si="2"/>
        <v>0.40625</v>
      </c>
      <c r="F33" s="3">
        <v>46120</v>
      </c>
    </row>
    <row r="34" spans="1:7" x14ac:dyDescent="0.3">
      <c r="A34" t="s">
        <v>5</v>
      </c>
      <c r="B34">
        <f>(COUNTIF($A$2:A34,A34)-1)*20</f>
        <v>120</v>
      </c>
      <c r="C34" s="5">
        <f t="shared" si="0"/>
        <v>9.2999999999998639E-4</v>
      </c>
      <c r="D34">
        <v>2.8319000000000001</v>
      </c>
      <c r="E34" s="1">
        <f t="shared" si="2"/>
        <v>0.40694444444444444</v>
      </c>
      <c r="F34" s="3">
        <v>46120</v>
      </c>
    </row>
    <row r="35" spans="1:7" x14ac:dyDescent="0.3">
      <c r="A35" t="s">
        <v>6</v>
      </c>
      <c r="B35">
        <f>(COUNTIF($A$2:A35,A35)-1)*20</f>
        <v>120</v>
      </c>
      <c r="C35" s="5">
        <f t="shared" si="0"/>
        <v>1.3399999999999857E-3</v>
      </c>
      <c r="D35">
        <v>2.8494000000000002</v>
      </c>
      <c r="E35" s="1">
        <f t="shared" si="2"/>
        <v>0.40972222222222227</v>
      </c>
      <c r="F35" s="3">
        <v>46120</v>
      </c>
    </row>
    <row r="36" spans="1:7" x14ac:dyDescent="0.3">
      <c r="A36" t="s">
        <v>7</v>
      </c>
      <c r="B36">
        <f>(COUNTIF($A$2:A36,A36)-1)*20</f>
        <v>120</v>
      </c>
      <c r="C36" s="5">
        <f t="shared" si="0"/>
        <v>6.3500000000000774E-4</v>
      </c>
      <c r="D36">
        <v>2.1581999999999999</v>
      </c>
      <c r="E36" s="1">
        <f t="shared" si="2"/>
        <v>0.41041666666666671</v>
      </c>
      <c r="F36" s="3">
        <v>46120</v>
      </c>
    </row>
    <row r="37" spans="1:7" x14ac:dyDescent="0.3">
      <c r="A37" t="s">
        <v>1</v>
      </c>
      <c r="B37">
        <f>(COUNTIF($A$2:A37,A37)-1)*20</f>
        <v>140</v>
      </c>
      <c r="C37" s="5">
        <f t="shared" si="0"/>
        <v>1.1850000000000137E-3</v>
      </c>
      <c r="D37">
        <v>3.0455999999999999</v>
      </c>
      <c r="E37" s="1">
        <f t="shared" si="2"/>
        <v>0.41666666666666669</v>
      </c>
      <c r="F37" s="3">
        <v>46120</v>
      </c>
      <c r="G37" s="7"/>
    </row>
    <row r="38" spans="1:7" x14ac:dyDescent="0.3">
      <c r="A38" t="s">
        <v>4</v>
      </c>
      <c r="B38">
        <f>(COUNTIF($A$2:A38,A38)-1)*20</f>
        <v>140</v>
      </c>
      <c r="C38" s="5">
        <f t="shared" si="0"/>
        <v>8.8500000000000243E-4</v>
      </c>
      <c r="D38">
        <v>2.5764999999999998</v>
      </c>
      <c r="E38" s="1">
        <f t="shared" si="2"/>
        <v>0.4201388888888889</v>
      </c>
      <c r="F38" s="3">
        <v>46120</v>
      </c>
    </row>
    <row r="39" spans="1:7" x14ac:dyDescent="0.3">
      <c r="A39" t="s">
        <v>5</v>
      </c>
      <c r="B39">
        <f>(COUNTIF($A$2:A39,A39)-1)*20</f>
        <v>140</v>
      </c>
      <c r="C39" s="5">
        <f t="shared" ref="C39:C70" si="3">(D34-D39)/20</f>
        <v>8.0000000000000069E-4</v>
      </c>
      <c r="D39">
        <v>2.8159000000000001</v>
      </c>
      <c r="E39" s="1">
        <f t="shared" si="2"/>
        <v>0.42083333333333334</v>
      </c>
      <c r="F39" s="3">
        <v>46120</v>
      </c>
    </row>
    <row r="40" spans="1:7" x14ac:dyDescent="0.3">
      <c r="A40" t="s">
        <v>6</v>
      </c>
      <c r="B40">
        <f>(COUNTIF($A$2:A40,A40)-1)*20</f>
        <v>140</v>
      </c>
      <c r="C40" s="5">
        <f t="shared" si="3"/>
        <v>1.1850000000000137E-3</v>
      </c>
      <c r="D40">
        <v>2.8256999999999999</v>
      </c>
      <c r="E40" s="1">
        <f t="shared" si="2"/>
        <v>0.42361111111111116</v>
      </c>
      <c r="F40" s="3">
        <v>46120</v>
      </c>
    </row>
    <row r="41" spans="1:7" x14ac:dyDescent="0.3">
      <c r="A41" t="s">
        <v>7</v>
      </c>
      <c r="B41">
        <f>(COUNTIF($A$2:A41,A41)-1)*20</f>
        <v>140</v>
      </c>
      <c r="C41" s="5">
        <f t="shared" si="3"/>
        <v>6.0000000000000049E-4</v>
      </c>
      <c r="D41">
        <v>2.1461999999999999</v>
      </c>
      <c r="E41" s="1">
        <f t="shared" si="2"/>
        <v>0.4243055555555556</v>
      </c>
      <c r="F41" s="3">
        <v>46120</v>
      </c>
    </row>
    <row r="42" spans="1:7" x14ac:dyDescent="0.3">
      <c r="A42" t="s">
        <v>1</v>
      </c>
      <c r="B42">
        <f>(COUNTIF($A$2:A42,A42)-1)*20</f>
        <v>160</v>
      </c>
      <c r="C42" s="5">
        <f t="shared" si="3"/>
        <v>1.2199999999999989E-3</v>
      </c>
      <c r="D42">
        <v>3.0211999999999999</v>
      </c>
      <c r="E42" s="1">
        <f t="shared" si="2"/>
        <v>0.43055555555555558</v>
      </c>
      <c r="F42" s="3">
        <v>46120</v>
      </c>
      <c r="G42" s="7"/>
    </row>
    <row r="43" spans="1:7" x14ac:dyDescent="0.3">
      <c r="A43" t="s">
        <v>4</v>
      </c>
      <c r="B43">
        <f>(COUNTIF($A$2:A43,A43)-1)*20</f>
        <v>160</v>
      </c>
      <c r="C43" s="5">
        <f t="shared" si="3"/>
        <v>1.1599999999999833E-3</v>
      </c>
      <c r="D43">
        <v>2.5533000000000001</v>
      </c>
      <c r="E43" s="1">
        <f t="shared" si="2"/>
        <v>0.43402777777777779</v>
      </c>
      <c r="F43" s="3">
        <v>46120</v>
      </c>
    </row>
    <row r="44" spans="1:7" x14ac:dyDescent="0.3">
      <c r="A44" t="s">
        <v>5</v>
      </c>
      <c r="B44">
        <f>(COUNTIF($A$2:A44,A44)-1)*20</f>
        <v>160</v>
      </c>
      <c r="C44" s="5">
        <f t="shared" si="3"/>
        <v>8.750000000000036E-4</v>
      </c>
      <c r="D44">
        <v>2.7984</v>
      </c>
      <c r="E44" s="1">
        <f t="shared" si="2"/>
        <v>0.43472222222222223</v>
      </c>
      <c r="F44" s="3">
        <v>46120</v>
      </c>
    </row>
    <row r="45" spans="1:7" x14ac:dyDescent="0.3">
      <c r="A45" t="s">
        <v>6</v>
      </c>
      <c r="B45">
        <f>(COUNTIF($A$2:A45,A45)-1)*20</f>
        <v>160</v>
      </c>
      <c r="C45" s="5">
        <f t="shared" si="3"/>
        <v>1.0549999999999837E-3</v>
      </c>
      <c r="D45">
        <v>2.8046000000000002</v>
      </c>
      <c r="E45" s="1">
        <f t="shared" si="2"/>
        <v>0.43750000000000006</v>
      </c>
      <c r="F45" s="3">
        <v>46120</v>
      </c>
    </row>
    <row r="46" spans="1:7" x14ac:dyDescent="0.3">
      <c r="A46" t="s">
        <v>7</v>
      </c>
      <c r="B46">
        <f>(COUNTIF($A$2:A46,A46)-1)*20</f>
        <v>160</v>
      </c>
      <c r="C46" s="5">
        <f t="shared" si="3"/>
        <v>5.4499999999999547E-4</v>
      </c>
      <c r="D46">
        <v>2.1353</v>
      </c>
      <c r="E46" s="1">
        <f t="shared" si="2"/>
        <v>0.4381944444444445</v>
      </c>
      <c r="F46" s="3">
        <v>46120</v>
      </c>
    </row>
    <row r="47" spans="1:7" x14ac:dyDescent="0.3">
      <c r="A47" t="s">
        <v>1</v>
      </c>
      <c r="B47">
        <f>(COUNTIF($A$2:A47,A47)-1)*20</f>
        <v>180</v>
      </c>
      <c r="C47" s="5">
        <f t="shared" si="3"/>
        <v>1.2099999999999999E-3</v>
      </c>
      <c r="D47">
        <v>2.9969999999999999</v>
      </c>
      <c r="E47" s="1">
        <f t="shared" si="2"/>
        <v>0.44444444444444448</v>
      </c>
      <c r="F47" s="3">
        <v>46120</v>
      </c>
      <c r="G47" s="7"/>
    </row>
    <row r="48" spans="1:7" x14ac:dyDescent="0.3">
      <c r="A48" t="s">
        <v>4</v>
      </c>
      <c r="B48">
        <f>(COUNTIF($A$2:A48,A48)-1)*20</f>
        <v>180</v>
      </c>
      <c r="C48" s="5">
        <f t="shared" si="3"/>
        <v>8.3999999999999635E-4</v>
      </c>
      <c r="D48">
        <v>2.5365000000000002</v>
      </c>
      <c r="E48" s="1">
        <f t="shared" si="2"/>
        <v>0.44791666666666669</v>
      </c>
      <c r="F48" s="3">
        <v>46120</v>
      </c>
    </row>
    <row r="49" spans="1:7" x14ac:dyDescent="0.3">
      <c r="A49" t="s">
        <v>5</v>
      </c>
      <c r="B49">
        <f>(COUNTIF($A$2:A49,A49)-1)*20</f>
        <v>180</v>
      </c>
      <c r="C49" s="5">
        <f t="shared" si="3"/>
        <v>8.250000000000091E-4</v>
      </c>
      <c r="D49">
        <v>2.7818999999999998</v>
      </c>
      <c r="E49" s="1">
        <f t="shared" si="2"/>
        <v>0.44861111111111113</v>
      </c>
      <c r="F49" s="3">
        <v>46120</v>
      </c>
    </row>
    <row r="50" spans="1:7" x14ac:dyDescent="0.3">
      <c r="A50" t="s">
        <v>6</v>
      </c>
      <c r="B50">
        <f>(COUNTIF($A$2:A50,A50)-1)*20</f>
        <v>180</v>
      </c>
      <c r="C50" s="5">
        <f t="shared" si="3"/>
        <v>8.5500000000000571E-4</v>
      </c>
      <c r="D50">
        <v>2.7875000000000001</v>
      </c>
      <c r="E50" s="1">
        <f t="shared" si="2"/>
        <v>0.45138888888888895</v>
      </c>
      <c r="F50" s="3">
        <v>46120</v>
      </c>
    </row>
    <row r="51" spans="1:7" x14ac:dyDescent="0.3">
      <c r="A51" t="s">
        <v>7</v>
      </c>
      <c r="B51">
        <f>(COUNTIF($A$2:A51,A51)-1)*20</f>
        <v>180</v>
      </c>
      <c r="C51" s="5">
        <f t="shared" si="3"/>
        <v>4.750000000000032E-4</v>
      </c>
      <c r="D51">
        <v>2.1257999999999999</v>
      </c>
      <c r="E51" s="1">
        <f t="shared" si="2"/>
        <v>0.45208333333333339</v>
      </c>
      <c r="F51" s="3">
        <v>46120</v>
      </c>
    </row>
    <row r="52" spans="1:7" x14ac:dyDescent="0.3">
      <c r="A52" t="s">
        <v>1</v>
      </c>
      <c r="B52">
        <f>(COUNTIF($A$2:A52,A52)-1)*20</f>
        <v>200</v>
      </c>
      <c r="C52" s="5">
        <f t="shared" si="3"/>
        <v>1.2650000000000051E-3</v>
      </c>
      <c r="D52">
        <v>2.9716999999999998</v>
      </c>
      <c r="E52" s="1">
        <f t="shared" si="2"/>
        <v>0.45833333333333337</v>
      </c>
      <c r="F52" s="3">
        <v>46120</v>
      </c>
      <c r="G52" s="7"/>
    </row>
    <row r="53" spans="1:7" x14ac:dyDescent="0.3">
      <c r="A53" t="s">
        <v>4</v>
      </c>
      <c r="B53">
        <f>(COUNTIF($A$2:A53,A53)-1)*20</f>
        <v>200</v>
      </c>
      <c r="C53" s="5">
        <f t="shared" si="3"/>
        <v>7.9500000000001239E-4</v>
      </c>
      <c r="D53">
        <v>2.5206</v>
      </c>
      <c r="E53" s="1">
        <f t="shared" si="2"/>
        <v>0.46180555555555558</v>
      </c>
      <c r="F53" s="3">
        <v>46120</v>
      </c>
    </row>
    <row r="54" spans="1:7" x14ac:dyDescent="0.3">
      <c r="A54" t="s">
        <v>5</v>
      </c>
      <c r="B54">
        <f>(COUNTIF($A$2:A54,A54)-1)*20</f>
        <v>200</v>
      </c>
      <c r="C54" s="5">
        <f t="shared" si="3"/>
        <v>7.0999999999998842E-4</v>
      </c>
      <c r="D54">
        <v>2.7677</v>
      </c>
      <c r="E54" s="1">
        <f t="shared" ref="E54:E85" si="4">E49+(20/1440)</f>
        <v>0.46250000000000002</v>
      </c>
      <c r="F54" s="3">
        <v>46120</v>
      </c>
    </row>
    <row r="55" spans="1:7" x14ac:dyDescent="0.3">
      <c r="A55" t="s">
        <v>6</v>
      </c>
      <c r="B55">
        <f>(COUNTIF($A$2:A55,A55)-1)*20</f>
        <v>200</v>
      </c>
      <c r="C55" s="5">
        <f t="shared" si="3"/>
        <v>1.200000000000001E-3</v>
      </c>
      <c r="D55">
        <v>2.7635000000000001</v>
      </c>
      <c r="E55" s="1">
        <f t="shared" si="4"/>
        <v>0.46527777777777785</v>
      </c>
      <c r="F55" s="3">
        <v>46120</v>
      </c>
    </row>
    <row r="56" spans="1:7" x14ac:dyDescent="0.3">
      <c r="A56" t="s">
        <v>7</v>
      </c>
      <c r="B56">
        <f>(COUNTIF($A$2:A56,A56)-1)*20</f>
        <v>200</v>
      </c>
      <c r="C56" s="5">
        <f t="shared" si="3"/>
        <v>6.4500000000000668E-4</v>
      </c>
      <c r="D56">
        <v>2.1128999999999998</v>
      </c>
      <c r="E56" s="1">
        <f t="shared" si="4"/>
        <v>0.46597222222222229</v>
      </c>
      <c r="F56" s="3">
        <v>46120</v>
      </c>
    </row>
    <row r="57" spans="1:7" x14ac:dyDescent="0.3">
      <c r="A57" t="s">
        <v>1</v>
      </c>
      <c r="B57">
        <f>(COUNTIF($A$2:A57,A57)-1)*20</f>
        <v>220</v>
      </c>
      <c r="C57" s="5">
        <f t="shared" si="3"/>
        <v>1.1199999999999878E-3</v>
      </c>
      <c r="D57">
        <v>2.9493</v>
      </c>
      <c r="E57" s="1">
        <f t="shared" si="4"/>
        <v>0.47222222222222227</v>
      </c>
      <c r="F57" s="3">
        <v>46120</v>
      </c>
      <c r="G57" s="7"/>
    </row>
    <row r="58" spans="1:7" x14ac:dyDescent="0.3">
      <c r="A58" t="s">
        <v>4</v>
      </c>
      <c r="B58">
        <f>(COUNTIF($A$2:A58,A58)-1)*20</f>
        <v>220</v>
      </c>
      <c r="C58" s="5">
        <f t="shared" si="3"/>
        <v>8.2999999999999741E-4</v>
      </c>
      <c r="D58">
        <v>2.504</v>
      </c>
      <c r="E58" s="1">
        <f t="shared" si="4"/>
        <v>0.47569444444444448</v>
      </c>
      <c r="F58" s="3">
        <v>46120</v>
      </c>
    </row>
    <row r="59" spans="1:7" x14ac:dyDescent="0.3">
      <c r="A59" t="s">
        <v>5</v>
      </c>
      <c r="B59">
        <f>(COUNTIF($A$2:A59,A59)-1)*20</f>
        <v>220</v>
      </c>
      <c r="C59" s="5">
        <f t="shared" si="3"/>
        <v>8.1999999999999846E-4</v>
      </c>
      <c r="D59">
        <v>2.7513000000000001</v>
      </c>
      <c r="E59" s="1">
        <f t="shared" si="4"/>
        <v>0.47638888888888892</v>
      </c>
      <c r="F59" s="3">
        <v>46120</v>
      </c>
    </row>
    <row r="60" spans="1:7" x14ac:dyDescent="0.3">
      <c r="A60" t="s">
        <v>6</v>
      </c>
      <c r="B60">
        <f>(COUNTIF($A$2:A60,A60)-1)*20</f>
        <v>220</v>
      </c>
      <c r="C60" s="5">
        <f t="shared" si="3"/>
        <v>1.0250000000000092E-3</v>
      </c>
      <c r="D60">
        <v>2.7429999999999999</v>
      </c>
      <c r="E60" s="1">
        <f t="shared" si="4"/>
        <v>0.47916666666666674</v>
      </c>
      <c r="F60" s="3">
        <v>46120</v>
      </c>
    </row>
    <row r="61" spans="1:7" x14ac:dyDescent="0.3">
      <c r="A61" t="s">
        <v>7</v>
      </c>
      <c r="B61">
        <f>(COUNTIF($A$2:A61,A61)-1)*20</f>
        <v>220</v>
      </c>
      <c r="C61" s="5">
        <f t="shared" si="3"/>
        <v>5.7999999999998049E-4</v>
      </c>
      <c r="D61">
        <v>2.1013000000000002</v>
      </c>
      <c r="E61" s="1">
        <f t="shared" si="4"/>
        <v>0.47986111111111118</v>
      </c>
      <c r="F61" s="3">
        <v>46120</v>
      </c>
    </row>
    <row r="62" spans="1:7" x14ac:dyDescent="0.3">
      <c r="A62" t="s">
        <v>1</v>
      </c>
      <c r="B62">
        <f>(COUNTIF($A$2:A62,A62)-1)*20</f>
        <v>240</v>
      </c>
      <c r="C62" s="5">
        <f t="shared" si="3"/>
        <v>1.2250000000000095E-3</v>
      </c>
      <c r="D62">
        <v>2.9247999999999998</v>
      </c>
      <c r="E62" s="1">
        <f t="shared" si="4"/>
        <v>0.48611111111111116</v>
      </c>
      <c r="F62" s="3">
        <v>46120</v>
      </c>
      <c r="G62" s="7"/>
    </row>
    <row r="63" spans="1:7" x14ac:dyDescent="0.3">
      <c r="A63" t="s">
        <v>4</v>
      </c>
      <c r="B63">
        <f>(COUNTIF($A$2:A63,A63)-1)*20</f>
        <v>240</v>
      </c>
      <c r="C63" s="5">
        <f t="shared" si="3"/>
        <v>9.3499999999999692E-4</v>
      </c>
      <c r="D63">
        <v>2.4853000000000001</v>
      </c>
      <c r="E63" s="1">
        <f t="shared" si="4"/>
        <v>0.48958333333333337</v>
      </c>
      <c r="F63" s="3">
        <v>46120</v>
      </c>
    </row>
    <row r="64" spans="1:7" x14ac:dyDescent="0.3">
      <c r="A64" t="s">
        <v>5</v>
      </c>
      <c r="B64">
        <f>(COUNTIF($A$2:A64,A64)-1)*20</f>
        <v>240</v>
      </c>
      <c r="C64" s="5">
        <f t="shared" si="3"/>
        <v>7.4499999999999567E-4</v>
      </c>
      <c r="D64">
        <v>2.7364000000000002</v>
      </c>
      <c r="E64" s="1">
        <f t="shared" si="4"/>
        <v>0.49027777777777781</v>
      </c>
      <c r="F64" s="3">
        <v>46120</v>
      </c>
    </row>
    <row r="65" spans="1:7" x14ac:dyDescent="0.3">
      <c r="A65" t="s">
        <v>6</v>
      </c>
      <c r="B65">
        <f>(COUNTIF($A$2:A65,A65)-1)*20</f>
        <v>240</v>
      </c>
      <c r="C65" s="5">
        <f t="shared" si="3"/>
        <v>9.8499999999999152E-4</v>
      </c>
      <c r="D65">
        <v>2.7233000000000001</v>
      </c>
      <c r="E65" s="1">
        <f t="shared" si="4"/>
        <v>0.49305555555555564</v>
      </c>
      <c r="F65" s="3">
        <v>46120</v>
      </c>
    </row>
    <row r="66" spans="1:7" x14ac:dyDescent="0.3">
      <c r="A66" t="s">
        <v>7</v>
      </c>
      <c r="B66">
        <f>(COUNTIF($A$2:A66,A66)-1)*20</f>
        <v>240</v>
      </c>
      <c r="C66" s="5">
        <f t="shared" si="3"/>
        <v>5.8500000000001324E-4</v>
      </c>
      <c r="D66">
        <v>2.0895999999999999</v>
      </c>
      <c r="E66" s="1">
        <f t="shared" si="4"/>
        <v>0.49375000000000008</v>
      </c>
      <c r="F66" s="3">
        <v>46120</v>
      </c>
    </row>
    <row r="67" spans="1:7" x14ac:dyDescent="0.3">
      <c r="A67" t="s">
        <v>1</v>
      </c>
      <c r="B67">
        <f>(COUNTIF($A$2:A67,A67)-1)*20</f>
        <v>260</v>
      </c>
      <c r="C67" s="5">
        <f t="shared" si="3"/>
        <v>1.2899999999999912E-3</v>
      </c>
      <c r="D67">
        <v>2.899</v>
      </c>
      <c r="E67" s="1">
        <f t="shared" si="4"/>
        <v>0.5</v>
      </c>
      <c r="F67" s="3">
        <v>46120</v>
      </c>
      <c r="G67" s="7"/>
    </row>
    <row r="68" spans="1:7" x14ac:dyDescent="0.3">
      <c r="A68" t="s">
        <v>4</v>
      </c>
      <c r="B68">
        <f>(COUNTIF($A$2:A68,A68)-1)*20</f>
        <v>260</v>
      </c>
      <c r="C68" s="5">
        <f t="shared" si="3"/>
        <v>7.8500000000001344E-4</v>
      </c>
      <c r="D68">
        <v>2.4695999999999998</v>
      </c>
      <c r="E68" s="1">
        <f t="shared" si="4"/>
        <v>0.50347222222222221</v>
      </c>
      <c r="F68" s="3">
        <v>46120</v>
      </c>
    </row>
    <row r="69" spans="1:7" x14ac:dyDescent="0.3">
      <c r="A69" t="s">
        <v>5</v>
      </c>
      <c r="B69">
        <f>(COUNTIF($A$2:A69,A69)-1)*20</f>
        <v>260</v>
      </c>
      <c r="C69" s="5">
        <f t="shared" si="3"/>
        <v>6.9000000000001287E-4</v>
      </c>
      <c r="D69">
        <v>2.7225999999999999</v>
      </c>
      <c r="E69" s="1">
        <f t="shared" si="4"/>
        <v>0.50416666666666665</v>
      </c>
      <c r="F69" s="3">
        <v>46120</v>
      </c>
    </row>
    <row r="70" spans="1:7" x14ac:dyDescent="0.3">
      <c r="A70" t="s">
        <v>6</v>
      </c>
      <c r="B70">
        <f>(COUNTIF($A$2:A70,A70)-1)*20</f>
        <v>260</v>
      </c>
      <c r="C70" s="5">
        <f t="shared" si="3"/>
        <v>1.1300000000000088E-3</v>
      </c>
      <c r="D70">
        <v>2.7006999999999999</v>
      </c>
      <c r="E70" s="1">
        <f t="shared" si="4"/>
        <v>0.50694444444444453</v>
      </c>
      <c r="F70" s="3">
        <v>46120</v>
      </c>
    </row>
    <row r="71" spans="1:7" x14ac:dyDescent="0.3">
      <c r="A71" t="s">
        <v>7</v>
      </c>
      <c r="B71">
        <f>(COUNTIF($A$2:A71,A71)-1)*20</f>
        <v>260</v>
      </c>
      <c r="C71" s="5">
        <f t="shared" ref="C71:C102" si="5">(D66-D71)/20</f>
        <v>5.9000000000000166E-4</v>
      </c>
      <c r="D71">
        <v>2.0777999999999999</v>
      </c>
      <c r="E71" s="1">
        <f t="shared" si="4"/>
        <v>0.50763888888888897</v>
      </c>
      <c r="F71" s="3">
        <v>46120</v>
      </c>
    </row>
    <row r="72" spans="1:7" x14ac:dyDescent="0.3">
      <c r="A72" t="s">
        <v>1</v>
      </c>
      <c r="B72">
        <f>(COUNTIF($A$2:A72,A72)-1)*20</f>
        <v>280</v>
      </c>
      <c r="C72" s="5">
        <f t="shared" si="5"/>
        <v>1.2050000000000116E-3</v>
      </c>
      <c r="D72">
        <v>2.8748999999999998</v>
      </c>
      <c r="E72" s="1">
        <f t="shared" si="4"/>
        <v>0.51388888888888884</v>
      </c>
      <c r="F72" s="3">
        <v>46120</v>
      </c>
      <c r="G72" s="7"/>
    </row>
    <row r="73" spans="1:7" x14ac:dyDescent="0.3">
      <c r="A73" t="s">
        <v>4</v>
      </c>
      <c r="B73">
        <f>(COUNTIF($A$2:A73,A73)-1)*20</f>
        <v>280</v>
      </c>
      <c r="C73" s="5">
        <f t="shared" si="5"/>
        <v>8.4499999999998465E-4</v>
      </c>
      <c r="D73">
        <v>2.4527000000000001</v>
      </c>
      <c r="E73" s="1">
        <f t="shared" si="4"/>
        <v>0.51736111111111105</v>
      </c>
      <c r="F73" s="3">
        <v>46120</v>
      </c>
    </row>
    <row r="74" spans="1:7" x14ac:dyDescent="0.3">
      <c r="A74" t="s">
        <v>5</v>
      </c>
      <c r="B74">
        <f>(COUNTIF($A$2:A74,A74)-1)*20</f>
        <v>280</v>
      </c>
      <c r="C74" s="5">
        <f t="shared" si="5"/>
        <v>7.2499999999999789E-4</v>
      </c>
      <c r="D74">
        <v>2.7081</v>
      </c>
      <c r="E74" s="1">
        <f t="shared" si="4"/>
        <v>0.51805555555555549</v>
      </c>
      <c r="F74" s="3">
        <v>46120</v>
      </c>
    </row>
    <row r="75" spans="1:7" x14ac:dyDescent="0.3">
      <c r="A75" t="s">
        <v>6</v>
      </c>
      <c r="B75">
        <f>(COUNTIF($A$2:A75,A75)-1)*20</f>
        <v>280</v>
      </c>
      <c r="C75" s="5">
        <f t="shared" si="5"/>
        <v>9.4999999999998417E-4</v>
      </c>
      <c r="D75">
        <v>2.6817000000000002</v>
      </c>
      <c r="E75" s="1">
        <f t="shared" si="4"/>
        <v>0.52083333333333337</v>
      </c>
      <c r="F75" s="3">
        <v>46120</v>
      </c>
    </row>
    <row r="76" spans="1:7" x14ac:dyDescent="0.3">
      <c r="A76" t="s">
        <v>7</v>
      </c>
      <c r="B76">
        <f>(COUNTIF($A$2:A76,A76)-1)*20</f>
        <v>280</v>
      </c>
      <c r="C76" s="5">
        <f t="shared" si="5"/>
        <v>5.4999999999998388E-4</v>
      </c>
      <c r="D76">
        <v>2.0668000000000002</v>
      </c>
      <c r="E76" s="1">
        <f t="shared" si="4"/>
        <v>0.52152777777777781</v>
      </c>
      <c r="F76" s="3">
        <v>46120</v>
      </c>
    </row>
    <row r="77" spans="1:7" x14ac:dyDescent="0.3">
      <c r="A77" t="s">
        <v>1</v>
      </c>
      <c r="B77">
        <f>(COUNTIF($A$2:A77,A77)-1)*20</f>
        <v>300</v>
      </c>
      <c r="C77" s="5">
        <f t="shared" si="5"/>
        <v>1.1999999999999789E-3</v>
      </c>
      <c r="D77">
        <v>2.8509000000000002</v>
      </c>
      <c r="E77" s="1">
        <f t="shared" si="4"/>
        <v>0.52777777777777768</v>
      </c>
      <c r="F77" s="3">
        <v>46120</v>
      </c>
      <c r="G77" s="7"/>
    </row>
    <row r="78" spans="1:7" x14ac:dyDescent="0.3">
      <c r="A78" t="s">
        <v>4</v>
      </c>
      <c r="B78">
        <f>(COUNTIF($A$2:A78,A78)-1)*20</f>
        <v>300</v>
      </c>
      <c r="C78" s="5">
        <f t="shared" si="5"/>
        <v>8.0500000000001122E-4</v>
      </c>
      <c r="D78">
        <v>2.4365999999999999</v>
      </c>
      <c r="E78" s="1">
        <f t="shared" si="4"/>
        <v>0.53124999999999989</v>
      </c>
      <c r="F78" s="3">
        <v>46120</v>
      </c>
    </row>
    <row r="79" spans="1:7" x14ac:dyDescent="0.3">
      <c r="A79" t="s">
        <v>5</v>
      </c>
      <c r="B79">
        <f>(COUNTIF($A$2:A79,A79)-1)*20</f>
        <v>300</v>
      </c>
      <c r="C79" s="5">
        <f t="shared" si="5"/>
        <v>6.4500000000000668E-4</v>
      </c>
      <c r="D79">
        <v>2.6951999999999998</v>
      </c>
      <c r="E79" s="1">
        <f t="shared" si="4"/>
        <v>0.53194444444444433</v>
      </c>
      <c r="F79" s="3">
        <v>46120</v>
      </c>
    </row>
    <row r="80" spans="1:7" x14ac:dyDescent="0.3">
      <c r="A80" t="s">
        <v>6</v>
      </c>
      <c r="B80">
        <f>(COUNTIF($A$2:A80,A80)-1)*20</f>
        <v>300</v>
      </c>
      <c r="C80" s="5">
        <f t="shared" si="5"/>
        <v>9.9000000000000195E-4</v>
      </c>
      <c r="D80">
        <v>2.6619000000000002</v>
      </c>
      <c r="E80" s="1">
        <f t="shared" si="4"/>
        <v>0.53472222222222221</v>
      </c>
      <c r="F80" s="3">
        <v>46120</v>
      </c>
    </row>
    <row r="81" spans="1:7" x14ac:dyDescent="0.3">
      <c r="A81" t="s">
        <v>7</v>
      </c>
      <c r="B81">
        <f>(COUNTIF($A$2:A81,A81)-1)*20</f>
        <v>300</v>
      </c>
      <c r="C81" s="5">
        <f t="shared" si="5"/>
        <v>5.4000000000000716E-4</v>
      </c>
      <c r="D81">
        <v>2.056</v>
      </c>
      <c r="E81" s="1">
        <f t="shared" si="4"/>
        <v>0.53541666666666665</v>
      </c>
      <c r="F81" s="3">
        <v>46120</v>
      </c>
    </row>
    <row r="82" spans="1:7" x14ac:dyDescent="0.3">
      <c r="A82" t="s">
        <v>1</v>
      </c>
      <c r="B82">
        <f>(COUNTIF($A$2:A82,A82)-1)*20</f>
        <v>320</v>
      </c>
      <c r="C82" s="5">
        <f t="shared" si="5"/>
        <v>1.2850000000000027E-3</v>
      </c>
      <c r="D82">
        <v>2.8252000000000002</v>
      </c>
      <c r="E82" s="1">
        <f t="shared" si="4"/>
        <v>0.54166666666666652</v>
      </c>
      <c r="F82" s="3">
        <v>46120</v>
      </c>
      <c r="G82" s="7"/>
    </row>
    <row r="83" spans="1:7" x14ac:dyDescent="0.3">
      <c r="A83" t="s">
        <v>4</v>
      </c>
      <c r="B83">
        <f>(COUNTIF($A$2:A83,A83)-1)*20</f>
        <v>320</v>
      </c>
      <c r="C83" s="5">
        <f t="shared" si="5"/>
        <v>7.1999999999998736E-4</v>
      </c>
      <c r="D83">
        <v>2.4222000000000001</v>
      </c>
      <c r="E83" s="1">
        <f t="shared" si="4"/>
        <v>0.54513888888888873</v>
      </c>
      <c r="F83" s="3">
        <v>46120</v>
      </c>
    </row>
    <row r="84" spans="1:7" x14ac:dyDescent="0.3">
      <c r="A84" t="s">
        <v>5</v>
      </c>
      <c r="B84">
        <f>(COUNTIF($A$2:A84,A84)-1)*20</f>
        <v>320</v>
      </c>
      <c r="C84" s="5">
        <f t="shared" si="5"/>
        <v>6.2999999999999721E-4</v>
      </c>
      <c r="D84">
        <v>2.6825999999999999</v>
      </c>
      <c r="E84" s="1">
        <f t="shared" si="4"/>
        <v>0.54583333333333317</v>
      </c>
      <c r="F84" s="3">
        <v>46120</v>
      </c>
    </row>
    <row r="85" spans="1:7" x14ac:dyDescent="0.3">
      <c r="A85" t="s">
        <v>6</v>
      </c>
      <c r="B85">
        <f>(COUNTIF($A$2:A85,A85)-1)*20</f>
        <v>320</v>
      </c>
      <c r="C85" s="5">
        <f t="shared" si="5"/>
        <v>1.0850000000000026E-3</v>
      </c>
      <c r="D85">
        <v>2.6402000000000001</v>
      </c>
      <c r="E85" s="1">
        <f t="shared" si="4"/>
        <v>0.54861111111111105</v>
      </c>
      <c r="F85" s="3">
        <v>46120</v>
      </c>
    </row>
    <row r="86" spans="1:7" x14ac:dyDescent="0.3">
      <c r="A86" t="s">
        <v>7</v>
      </c>
      <c r="B86">
        <f>(COUNTIF($A$2:A86,A86)-1)*20</f>
        <v>320</v>
      </c>
      <c r="C86" s="5">
        <f t="shared" si="5"/>
        <v>6.1500000000000996E-4</v>
      </c>
      <c r="D86">
        <v>2.0436999999999999</v>
      </c>
      <c r="E86" s="1">
        <f t="shared" ref="E86:E117" si="6">E81+(20/1440)</f>
        <v>0.54930555555555549</v>
      </c>
      <c r="F86" s="3">
        <v>46120</v>
      </c>
    </row>
    <row r="87" spans="1:7" x14ac:dyDescent="0.3">
      <c r="A87" t="s">
        <v>1</v>
      </c>
      <c r="B87">
        <f>(COUNTIF($A$2:A87,A87)-1)*20</f>
        <v>340</v>
      </c>
      <c r="C87" s="5">
        <f t="shared" si="5"/>
        <v>1.3050000000000006E-3</v>
      </c>
      <c r="D87">
        <v>2.7991000000000001</v>
      </c>
      <c r="E87" s="1">
        <f t="shared" si="6"/>
        <v>0.55555555555555536</v>
      </c>
      <c r="F87" s="3">
        <v>46120</v>
      </c>
      <c r="G87" s="7"/>
    </row>
    <row r="88" spans="1:7" x14ac:dyDescent="0.3">
      <c r="A88" t="s">
        <v>4</v>
      </c>
      <c r="B88">
        <f>(COUNTIF($A$2:A88,A88)-1)*20</f>
        <v>340</v>
      </c>
      <c r="C88" s="5">
        <f t="shared" si="5"/>
        <v>8.5000000000001741E-4</v>
      </c>
      <c r="D88">
        <v>2.4051999999999998</v>
      </c>
      <c r="E88" s="1">
        <f t="shared" si="6"/>
        <v>0.55902777777777757</v>
      </c>
      <c r="F88" s="3">
        <v>46120</v>
      </c>
    </row>
    <row r="89" spans="1:7" x14ac:dyDescent="0.3">
      <c r="A89" t="s">
        <v>5</v>
      </c>
      <c r="B89">
        <f>(COUNTIF($A$2:A89,A89)-1)*20</f>
        <v>340</v>
      </c>
      <c r="C89" s="5">
        <f t="shared" si="5"/>
        <v>6.6500000000000445E-4</v>
      </c>
      <c r="D89">
        <v>2.6692999999999998</v>
      </c>
      <c r="E89" s="1">
        <f t="shared" si="6"/>
        <v>0.55972222222222201</v>
      </c>
      <c r="F89" s="3">
        <v>46120</v>
      </c>
    </row>
    <row r="90" spans="1:7" x14ac:dyDescent="0.3">
      <c r="A90" t="s">
        <v>6</v>
      </c>
      <c r="B90">
        <f>(COUNTIF($A$2:A90,A90)-1)*20</f>
        <v>340</v>
      </c>
      <c r="C90" s="5">
        <f t="shared" si="5"/>
        <v>8.0999999999999963E-4</v>
      </c>
      <c r="D90">
        <v>2.6240000000000001</v>
      </c>
      <c r="E90" s="1">
        <f t="shared" si="6"/>
        <v>0.56249999999999989</v>
      </c>
      <c r="F90" s="3">
        <v>46120</v>
      </c>
    </row>
    <row r="91" spans="1:7" x14ac:dyDescent="0.3">
      <c r="A91" t="s">
        <v>7</v>
      </c>
      <c r="B91">
        <f>(COUNTIF($A$2:A91,A91)-1)*20</f>
        <v>340</v>
      </c>
      <c r="C91" s="5">
        <f t="shared" si="5"/>
        <v>5.1999999999998716E-4</v>
      </c>
      <c r="D91">
        <v>2.0333000000000001</v>
      </c>
      <c r="E91" s="1">
        <f t="shared" si="6"/>
        <v>0.56319444444444433</v>
      </c>
      <c r="F91" s="3">
        <v>46120</v>
      </c>
    </row>
    <row r="92" spans="1:7" x14ac:dyDescent="0.3">
      <c r="A92" t="s">
        <v>1</v>
      </c>
      <c r="B92">
        <f>(COUNTIF($A$2:A92,A92)-1)*20</f>
        <v>360</v>
      </c>
      <c r="C92" s="5">
        <f t="shared" si="5"/>
        <v>1.0700000000000154E-3</v>
      </c>
      <c r="D92">
        <v>2.7776999999999998</v>
      </c>
      <c r="E92" s="1">
        <f t="shared" si="6"/>
        <v>0.5694444444444442</v>
      </c>
      <c r="F92" s="3">
        <v>46120</v>
      </c>
      <c r="G92" s="7"/>
    </row>
    <row r="93" spans="1:7" x14ac:dyDescent="0.3">
      <c r="A93" t="s">
        <v>4</v>
      </c>
      <c r="B93">
        <f>(COUNTIF($A$2:A93,A93)-1)*20</f>
        <v>360</v>
      </c>
      <c r="C93" s="5">
        <f t="shared" si="5"/>
        <v>7.1499999999999895E-4</v>
      </c>
      <c r="D93">
        <v>2.3908999999999998</v>
      </c>
      <c r="E93" s="1">
        <f t="shared" si="6"/>
        <v>0.57291666666666641</v>
      </c>
      <c r="F93" s="3">
        <v>46120</v>
      </c>
    </row>
    <row r="94" spans="1:7" x14ac:dyDescent="0.3">
      <c r="A94" t="s">
        <v>5</v>
      </c>
      <c r="B94">
        <f>(COUNTIF($A$2:A94,A94)-1)*20</f>
        <v>360</v>
      </c>
      <c r="C94" s="5">
        <f t="shared" si="5"/>
        <v>6.049999999999889E-4</v>
      </c>
      <c r="D94">
        <v>2.6572</v>
      </c>
      <c r="E94" s="1">
        <f t="shared" si="6"/>
        <v>0.57361111111111085</v>
      </c>
      <c r="F94" s="3">
        <v>46120</v>
      </c>
    </row>
    <row r="95" spans="1:7" x14ac:dyDescent="0.3">
      <c r="A95" t="s">
        <v>6</v>
      </c>
      <c r="B95">
        <f>(COUNTIF($A$2:A95,A95)-1)*20</f>
        <v>360</v>
      </c>
      <c r="C95" s="5">
        <f t="shared" si="5"/>
        <v>8.5500000000000571E-4</v>
      </c>
      <c r="D95">
        <v>2.6069</v>
      </c>
      <c r="E95" s="1">
        <f t="shared" si="6"/>
        <v>0.57638888888888873</v>
      </c>
      <c r="F95" s="3">
        <v>46120</v>
      </c>
    </row>
    <row r="96" spans="1:7" x14ac:dyDescent="0.3">
      <c r="A96" t="s">
        <v>7</v>
      </c>
      <c r="B96">
        <f>(COUNTIF($A$2:A96,A96)-1)*20</f>
        <v>360</v>
      </c>
      <c r="C96" s="5">
        <f t="shared" si="5"/>
        <v>4.750000000000032E-4</v>
      </c>
      <c r="D96">
        <v>2.0238</v>
      </c>
      <c r="E96" s="1">
        <f t="shared" si="6"/>
        <v>0.57708333333333317</v>
      </c>
      <c r="F96" s="3">
        <v>46120</v>
      </c>
    </row>
    <row r="97" spans="1:7" x14ac:dyDescent="0.3">
      <c r="A97" t="s">
        <v>1</v>
      </c>
      <c r="B97">
        <f>(COUNTIF($A$2:A97,A97)-1)*20</f>
        <v>380</v>
      </c>
      <c r="C97" s="5">
        <f t="shared" si="5"/>
        <v>1.3149999999999995E-3</v>
      </c>
      <c r="D97">
        <v>2.7513999999999998</v>
      </c>
      <c r="E97" s="1">
        <f t="shared" si="6"/>
        <v>0.58333333333333304</v>
      </c>
      <c r="F97" s="3">
        <v>46120</v>
      </c>
      <c r="G97" s="7"/>
    </row>
    <row r="98" spans="1:7" x14ac:dyDescent="0.3">
      <c r="A98" t="s">
        <v>4</v>
      </c>
      <c r="B98">
        <f>(COUNTIF($A$2:A98,A98)-1)*20</f>
        <v>380</v>
      </c>
      <c r="C98" s="5">
        <f t="shared" si="5"/>
        <v>7.3999999999998514E-4</v>
      </c>
      <c r="D98">
        <v>2.3761000000000001</v>
      </c>
      <c r="E98" s="1">
        <f t="shared" si="6"/>
        <v>0.58680555555555525</v>
      </c>
      <c r="F98" s="3">
        <v>46120</v>
      </c>
    </row>
    <row r="99" spans="1:7" x14ac:dyDescent="0.3">
      <c r="A99" t="s">
        <v>5</v>
      </c>
      <c r="B99">
        <f>(COUNTIF($A$2:A99,A99)-1)*20</f>
        <v>380</v>
      </c>
      <c r="C99" s="5">
        <f t="shared" si="5"/>
        <v>6.0999999999999943E-4</v>
      </c>
      <c r="D99">
        <v>2.645</v>
      </c>
      <c r="E99" s="1">
        <f t="shared" si="6"/>
        <v>0.58749999999999969</v>
      </c>
      <c r="F99" s="3">
        <v>46120</v>
      </c>
    </row>
    <row r="100" spans="1:7" x14ac:dyDescent="0.3">
      <c r="A100" t="s">
        <v>6</v>
      </c>
      <c r="B100">
        <f>(COUNTIF($A$2:A100,A100)-1)*20</f>
        <v>380</v>
      </c>
      <c r="C100" s="5">
        <f t="shared" si="5"/>
        <v>8.750000000000036E-4</v>
      </c>
      <c r="D100">
        <v>2.5893999999999999</v>
      </c>
      <c r="E100" s="1">
        <f t="shared" si="6"/>
        <v>0.59027777777777757</v>
      </c>
      <c r="F100" s="3">
        <v>46120</v>
      </c>
    </row>
    <row r="101" spans="1:7" x14ac:dyDescent="0.3">
      <c r="A101" t="s">
        <v>7</v>
      </c>
      <c r="B101">
        <f>(COUNTIF($A$2:A101,A101)-1)*20</f>
        <v>380</v>
      </c>
      <c r="C101" s="5">
        <f t="shared" si="5"/>
        <v>5.1499999999999875E-4</v>
      </c>
      <c r="D101">
        <v>2.0135000000000001</v>
      </c>
      <c r="E101" s="1">
        <f t="shared" si="6"/>
        <v>0.59097222222222201</v>
      </c>
      <c r="F101" s="3">
        <v>46120</v>
      </c>
    </row>
    <row r="102" spans="1:7" x14ac:dyDescent="0.3">
      <c r="A102" t="s">
        <v>1</v>
      </c>
      <c r="B102">
        <f>(COUNTIF($A$2:A102,A102)-1)*20</f>
        <v>400</v>
      </c>
      <c r="C102" s="5">
        <f t="shared" si="5"/>
        <v>1.254999999999984E-3</v>
      </c>
      <c r="D102">
        <v>2.7263000000000002</v>
      </c>
      <c r="E102" s="1">
        <f t="shared" si="6"/>
        <v>0.59722222222222188</v>
      </c>
      <c r="F102" s="3">
        <v>46120</v>
      </c>
      <c r="G102" s="7"/>
    </row>
    <row r="103" spans="1:7" x14ac:dyDescent="0.3">
      <c r="A103" t="s">
        <v>4</v>
      </c>
      <c r="B103">
        <f>(COUNTIF($A$2:A103,A103)-1)*20</f>
        <v>400</v>
      </c>
      <c r="C103" s="5">
        <f t="shared" ref="C103:C134" si="7">(D98-D103)/20</f>
        <v>7.2000000000000948E-4</v>
      </c>
      <c r="D103">
        <v>2.3616999999999999</v>
      </c>
      <c r="E103" s="1">
        <f t="shared" si="6"/>
        <v>0.60069444444444409</v>
      </c>
      <c r="F103" s="3">
        <v>46120</v>
      </c>
    </row>
    <row r="104" spans="1:7" x14ac:dyDescent="0.3">
      <c r="A104" t="s">
        <v>5</v>
      </c>
      <c r="B104">
        <f>(COUNTIF($A$2:A104,A104)-1)*20</f>
        <v>400</v>
      </c>
      <c r="C104" s="5">
        <f t="shared" si="7"/>
        <v>6.1999999999999837E-4</v>
      </c>
      <c r="D104">
        <v>2.6326000000000001</v>
      </c>
      <c r="E104" s="1">
        <f t="shared" si="6"/>
        <v>0.60138888888888853</v>
      </c>
      <c r="F104" s="3">
        <v>46120</v>
      </c>
    </row>
    <row r="105" spans="1:7" x14ac:dyDescent="0.3">
      <c r="A105" t="s">
        <v>6</v>
      </c>
      <c r="B105">
        <f>(COUNTIF($A$2:A105,A105)-1)*20</f>
        <v>400</v>
      </c>
      <c r="C105" s="5">
        <f t="shared" si="7"/>
        <v>7.3499999999999672E-4</v>
      </c>
      <c r="D105">
        <v>2.5747</v>
      </c>
      <c r="E105" s="1">
        <f t="shared" si="6"/>
        <v>0.60416666666666641</v>
      </c>
      <c r="F105" s="3">
        <v>46120</v>
      </c>
    </row>
    <row r="106" spans="1:7" x14ac:dyDescent="0.3">
      <c r="A106" t="s">
        <v>7</v>
      </c>
      <c r="B106">
        <f>(COUNTIF($A$2:A106,A106)-1)*20</f>
        <v>400</v>
      </c>
      <c r="C106" s="5">
        <f t="shared" si="7"/>
        <v>4.8000000000001373E-4</v>
      </c>
      <c r="D106">
        <v>2.0038999999999998</v>
      </c>
      <c r="E106" s="1">
        <f t="shared" si="6"/>
        <v>0.60486111111111085</v>
      </c>
      <c r="F106" s="3">
        <v>46120</v>
      </c>
    </row>
    <row r="107" spans="1:7" x14ac:dyDescent="0.3">
      <c r="A107" t="s">
        <v>12</v>
      </c>
      <c r="B107">
        <v>0</v>
      </c>
      <c r="C107" s="5">
        <v>0</v>
      </c>
      <c r="D107">
        <v>2.7172000000000001</v>
      </c>
      <c r="E107" s="1">
        <v>0.32916666666666666</v>
      </c>
      <c r="F107" s="3">
        <v>46122</v>
      </c>
    </row>
    <row r="108" spans="1:7" x14ac:dyDescent="0.3">
      <c r="A108" t="s">
        <v>13</v>
      </c>
      <c r="B108">
        <v>0</v>
      </c>
      <c r="C108" s="5">
        <v>0</v>
      </c>
      <c r="D108">
        <v>4.6805000000000003</v>
      </c>
      <c r="E108" s="1">
        <v>0.33055555555555555</v>
      </c>
      <c r="F108" s="3">
        <v>46122</v>
      </c>
    </row>
    <row r="109" spans="1:7" x14ac:dyDescent="0.3">
      <c r="A109" t="s">
        <v>14</v>
      </c>
      <c r="B109">
        <v>0</v>
      </c>
      <c r="C109" s="5">
        <v>0</v>
      </c>
      <c r="D109">
        <v>3.1541999999999999</v>
      </c>
      <c r="E109" s="1">
        <v>0.33055555555555555</v>
      </c>
      <c r="F109" s="3">
        <v>46122</v>
      </c>
    </row>
    <row r="110" spans="1:7" x14ac:dyDescent="0.3">
      <c r="A110" t="s">
        <v>15</v>
      </c>
      <c r="B110">
        <v>0</v>
      </c>
      <c r="C110" s="5">
        <v>0</v>
      </c>
      <c r="D110">
        <v>2.6152000000000002</v>
      </c>
      <c r="E110" s="1">
        <v>0.33472222222222225</v>
      </c>
      <c r="F110" s="3">
        <v>46122</v>
      </c>
    </row>
    <row r="111" spans="1:7" x14ac:dyDescent="0.3">
      <c r="A111" t="s">
        <v>16</v>
      </c>
      <c r="B111">
        <v>0</v>
      </c>
      <c r="C111" s="5">
        <v>0</v>
      </c>
      <c r="D111">
        <v>2.4081000000000001</v>
      </c>
      <c r="E111" s="1">
        <v>0.33680555555555558</v>
      </c>
      <c r="F111" s="3">
        <v>46122</v>
      </c>
    </row>
    <row r="112" spans="1:7" x14ac:dyDescent="0.3">
      <c r="A112" t="s">
        <v>17</v>
      </c>
      <c r="B112">
        <v>0</v>
      </c>
      <c r="C112" s="5">
        <v>0</v>
      </c>
      <c r="D112">
        <v>3.62</v>
      </c>
      <c r="E112" s="1">
        <v>0.33819444444444446</v>
      </c>
      <c r="F112" s="3">
        <v>46122</v>
      </c>
    </row>
    <row r="113" spans="1:6" x14ac:dyDescent="0.3">
      <c r="A113" t="s">
        <v>18</v>
      </c>
      <c r="B113">
        <v>0</v>
      </c>
      <c r="C113" s="5">
        <v>0</v>
      </c>
      <c r="D113">
        <v>2.9916</v>
      </c>
      <c r="E113" s="1">
        <v>0.33888888888888891</v>
      </c>
      <c r="F113" s="3">
        <v>46122</v>
      </c>
    </row>
    <row r="114" spans="1:6" x14ac:dyDescent="0.3">
      <c r="A114" t="s">
        <v>12</v>
      </c>
      <c r="B114">
        <v>20</v>
      </c>
      <c r="C114" s="5">
        <v>2.3600000000000066E-3</v>
      </c>
      <c r="D114">
        <v>2.67</v>
      </c>
      <c r="E114" s="1">
        <v>0.34305555555555556</v>
      </c>
      <c r="F114" s="3">
        <v>46122</v>
      </c>
    </row>
    <row r="115" spans="1:6" x14ac:dyDescent="0.3">
      <c r="A115" t="s">
        <v>13</v>
      </c>
      <c r="B115">
        <v>20</v>
      </c>
      <c r="C115" s="5">
        <v>3.4450000000000093E-3</v>
      </c>
      <c r="D115">
        <v>4.6116000000000001</v>
      </c>
      <c r="E115" s="1">
        <v>0.34444444444444444</v>
      </c>
      <c r="F115" s="3">
        <v>46122</v>
      </c>
    </row>
    <row r="116" spans="1:6" x14ac:dyDescent="0.3">
      <c r="A116" t="s">
        <v>14</v>
      </c>
      <c r="B116">
        <v>20</v>
      </c>
      <c r="C116" s="5">
        <v>3.3150000000000011E-3</v>
      </c>
      <c r="D116">
        <v>3.0878999999999999</v>
      </c>
      <c r="E116" s="1">
        <v>0.34444444444444444</v>
      </c>
      <c r="F116" s="3">
        <v>46122</v>
      </c>
    </row>
    <row r="117" spans="1:6" x14ac:dyDescent="0.3">
      <c r="A117" t="s">
        <v>15</v>
      </c>
      <c r="B117">
        <v>20</v>
      </c>
      <c r="C117" s="5">
        <v>1.0050000000000115E-3</v>
      </c>
      <c r="D117">
        <v>2.5951</v>
      </c>
      <c r="E117" s="1">
        <v>0.34861111111111115</v>
      </c>
      <c r="F117" s="3">
        <v>46122</v>
      </c>
    </row>
    <row r="118" spans="1:6" x14ac:dyDescent="0.3">
      <c r="A118" t="s">
        <v>16</v>
      </c>
      <c r="B118">
        <v>20</v>
      </c>
      <c r="C118" s="5">
        <v>1.0199999999999988E-3</v>
      </c>
      <c r="D118">
        <v>2.3877000000000002</v>
      </c>
      <c r="E118" s="1">
        <v>0.35069444444444448</v>
      </c>
      <c r="F118" s="3">
        <v>46122</v>
      </c>
    </row>
    <row r="119" spans="1:6" x14ac:dyDescent="0.3">
      <c r="A119" t="s">
        <v>17</v>
      </c>
      <c r="B119">
        <v>20</v>
      </c>
      <c r="C119" s="5">
        <v>1.705000000000001E-3</v>
      </c>
      <c r="D119">
        <v>3.5859000000000001</v>
      </c>
      <c r="E119" s="1">
        <v>0.35208333333333336</v>
      </c>
      <c r="F119" s="3">
        <v>46122</v>
      </c>
    </row>
    <row r="120" spans="1:6" x14ac:dyDescent="0.3">
      <c r="A120" t="s">
        <v>18</v>
      </c>
      <c r="B120">
        <v>20</v>
      </c>
      <c r="C120" s="5">
        <v>1.4350000000000085E-3</v>
      </c>
      <c r="D120">
        <v>2.9628999999999999</v>
      </c>
      <c r="E120" s="1">
        <v>0.3527777777777778</v>
      </c>
      <c r="F120" s="3">
        <v>46122</v>
      </c>
    </row>
    <row r="121" spans="1:6" x14ac:dyDescent="0.3">
      <c r="A121" t="s">
        <v>12</v>
      </c>
      <c r="B121">
        <v>40</v>
      </c>
      <c r="C121" s="5">
        <v>1.8550000000000066E-3</v>
      </c>
      <c r="D121">
        <v>2.6328999999999998</v>
      </c>
      <c r="E121" s="1">
        <v>0.35694444444444445</v>
      </c>
      <c r="F121" s="3">
        <v>46122</v>
      </c>
    </row>
    <row r="122" spans="1:6" x14ac:dyDescent="0.3">
      <c r="A122" t="s">
        <v>13</v>
      </c>
      <c r="B122">
        <v>40</v>
      </c>
      <c r="C122" s="5">
        <v>2.6600000000000178E-3</v>
      </c>
      <c r="D122">
        <v>4.5583999999999998</v>
      </c>
      <c r="E122" s="1">
        <v>0.35833333333333334</v>
      </c>
      <c r="F122" s="3">
        <v>46122</v>
      </c>
    </row>
    <row r="123" spans="1:6" x14ac:dyDescent="0.3">
      <c r="A123" t="s">
        <v>14</v>
      </c>
      <c r="B123">
        <v>40</v>
      </c>
      <c r="C123" s="5">
        <v>2.3949999999999918E-3</v>
      </c>
      <c r="D123">
        <v>3.04</v>
      </c>
      <c r="E123" s="1">
        <v>0.35833333333333334</v>
      </c>
      <c r="F123" s="3">
        <v>46122</v>
      </c>
    </row>
    <row r="124" spans="1:6" x14ac:dyDescent="0.3">
      <c r="A124" t="s">
        <v>15</v>
      </c>
      <c r="B124">
        <v>40</v>
      </c>
      <c r="C124" s="5">
        <v>9.6000000000000534E-4</v>
      </c>
      <c r="D124">
        <v>2.5758999999999999</v>
      </c>
      <c r="E124" s="1">
        <v>0.36250000000000004</v>
      </c>
      <c r="F124" s="3">
        <v>46122</v>
      </c>
    </row>
    <row r="125" spans="1:6" x14ac:dyDescent="0.3">
      <c r="A125" t="s">
        <v>16</v>
      </c>
      <c r="B125">
        <v>40</v>
      </c>
      <c r="C125" s="5">
        <v>1.1050000000000005E-3</v>
      </c>
      <c r="D125">
        <v>2.3656000000000001</v>
      </c>
      <c r="E125" s="1">
        <v>0.36458333333333337</v>
      </c>
      <c r="F125" s="3">
        <v>46122</v>
      </c>
    </row>
    <row r="126" spans="1:6" x14ac:dyDescent="0.3">
      <c r="A126" t="s">
        <v>17</v>
      </c>
      <c r="B126">
        <v>40</v>
      </c>
      <c r="C126" s="5">
        <v>1.7100000000000114E-3</v>
      </c>
      <c r="D126">
        <v>3.5516999999999999</v>
      </c>
      <c r="E126" s="1">
        <v>0.36597222222222225</v>
      </c>
      <c r="F126" s="3">
        <v>46122</v>
      </c>
    </row>
    <row r="127" spans="1:6" x14ac:dyDescent="0.3">
      <c r="A127" t="s">
        <v>18</v>
      </c>
      <c r="B127">
        <v>40</v>
      </c>
      <c r="C127" s="5">
        <v>1.2950000000000017E-3</v>
      </c>
      <c r="D127">
        <v>2.9369999999999998</v>
      </c>
      <c r="E127" s="1">
        <v>0.3666666666666667</v>
      </c>
      <c r="F127" s="3">
        <v>46122</v>
      </c>
    </row>
    <row r="128" spans="1:6" x14ac:dyDescent="0.3">
      <c r="A128" t="s">
        <v>12</v>
      </c>
      <c r="B128">
        <v>60</v>
      </c>
      <c r="C128" s="5">
        <v>2.0349999999999869E-3</v>
      </c>
      <c r="D128">
        <v>2.5922000000000001</v>
      </c>
      <c r="E128" s="1">
        <v>0.37083333333333335</v>
      </c>
      <c r="F128" s="3">
        <v>46122</v>
      </c>
    </row>
    <row r="129" spans="1:6" x14ac:dyDescent="0.3">
      <c r="A129" t="s">
        <v>13</v>
      </c>
      <c r="B129">
        <v>60</v>
      </c>
      <c r="C129" s="5">
        <v>2.8599999999999958E-3</v>
      </c>
      <c r="D129">
        <v>4.5011999999999999</v>
      </c>
      <c r="E129" s="1">
        <v>0.37222222222222223</v>
      </c>
      <c r="F129" s="3">
        <v>46122</v>
      </c>
    </row>
    <row r="130" spans="1:6" x14ac:dyDescent="0.3">
      <c r="A130" t="s">
        <v>14</v>
      </c>
      <c r="B130">
        <v>60</v>
      </c>
      <c r="C130" s="5">
        <v>2.3800000000000045E-3</v>
      </c>
      <c r="D130">
        <v>2.9923999999999999</v>
      </c>
      <c r="E130" s="1">
        <v>0.37222222222222223</v>
      </c>
      <c r="F130" s="3">
        <v>46122</v>
      </c>
    </row>
    <row r="131" spans="1:6" x14ac:dyDescent="0.3">
      <c r="A131" t="s">
        <v>15</v>
      </c>
      <c r="B131">
        <v>60</v>
      </c>
      <c r="C131" s="5">
        <v>9.4499999999999587E-4</v>
      </c>
      <c r="D131">
        <v>2.5569999999999999</v>
      </c>
      <c r="E131" s="1">
        <v>0.37638888888888894</v>
      </c>
      <c r="F131" s="3">
        <v>46122</v>
      </c>
    </row>
    <row r="132" spans="1:6" x14ac:dyDescent="0.3">
      <c r="A132" t="s">
        <v>16</v>
      </c>
      <c r="B132">
        <v>60</v>
      </c>
      <c r="C132" s="5">
        <v>8.7000000000001518E-4</v>
      </c>
      <c r="D132">
        <v>2.3481999999999998</v>
      </c>
      <c r="E132" s="1">
        <v>0.37847222222222227</v>
      </c>
      <c r="F132" s="3">
        <v>46122</v>
      </c>
    </row>
    <row r="133" spans="1:6" x14ac:dyDescent="0.3">
      <c r="A133" t="s">
        <v>17</v>
      </c>
      <c r="B133">
        <v>60</v>
      </c>
      <c r="C133" s="5">
        <v>1.5800000000000037E-3</v>
      </c>
      <c r="D133">
        <v>3.5200999999999998</v>
      </c>
      <c r="E133" s="1">
        <v>0.37986111111111115</v>
      </c>
      <c r="F133" s="3">
        <v>46122</v>
      </c>
    </row>
    <row r="134" spans="1:6" x14ac:dyDescent="0.3">
      <c r="A134" t="s">
        <v>18</v>
      </c>
      <c r="B134">
        <v>60</v>
      </c>
      <c r="C134" s="5">
        <v>1.0749999999999816E-3</v>
      </c>
      <c r="D134">
        <v>2.9155000000000002</v>
      </c>
      <c r="E134" s="1">
        <v>0.38055555555555559</v>
      </c>
      <c r="F134" s="3">
        <v>46122</v>
      </c>
    </row>
    <row r="135" spans="1:6" x14ac:dyDescent="0.3">
      <c r="A135" t="s">
        <v>12</v>
      </c>
      <c r="B135">
        <v>80</v>
      </c>
      <c r="C135" s="5">
        <v>1.8100000000000004E-3</v>
      </c>
      <c r="D135">
        <v>2.556</v>
      </c>
      <c r="E135" s="1">
        <v>0.38472222222222224</v>
      </c>
      <c r="F135" s="3">
        <v>46122</v>
      </c>
    </row>
    <row r="136" spans="1:6" x14ac:dyDescent="0.3">
      <c r="A136" t="s">
        <v>13</v>
      </c>
      <c r="B136">
        <v>80</v>
      </c>
      <c r="C136" s="5">
        <v>2.9599999999999848E-3</v>
      </c>
      <c r="D136">
        <v>4.4420000000000002</v>
      </c>
      <c r="E136" s="1">
        <v>0.38611111111111113</v>
      </c>
      <c r="F136" s="3">
        <v>46122</v>
      </c>
    </row>
    <row r="137" spans="1:6" x14ac:dyDescent="0.3">
      <c r="A137" t="s">
        <v>14</v>
      </c>
      <c r="B137">
        <v>80</v>
      </c>
      <c r="C137" s="5">
        <v>2.0799999999999929E-3</v>
      </c>
      <c r="D137">
        <v>2.9508000000000001</v>
      </c>
      <c r="E137" s="1">
        <v>0.38611111111111113</v>
      </c>
      <c r="F137" s="3">
        <v>46122</v>
      </c>
    </row>
    <row r="138" spans="1:6" x14ac:dyDescent="0.3">
      <c r="A138" t="s">
        <v>15</v>
      </c>
      <c r="B138">
        <v>80</v>
      </c>
      <c r="C138" s="5">
        <v>1.0299999999999975E-3</v>
      </c>
      <c r="D138">
        <v>2.5364</v>
      </c>
      <c r="E138" s="1">
        <v>0.39027777777777783</v>
      </c>
      <c r="F138" s="3">
        <v>46122</v>
      </c>
    </row>
    <row r="139" spans="1:6" x14ac:dyDescent="0.3">
      <c r="A139" t="s">
        <v>16</v>
      </c>
      <c r="B139">
        <v>80</v>
      </c>
      <c r="C139" s="5">
        <v>9.9499999999999025E-4</v>
      </c>
      <c r="D139">
        <v>2.3283</v>
      </c>
      <c r="E139" s="1">
        <v>0.39236111111111116</v>
      </c>
      <c r="F139" s="3">
        <v>46122</v>
      </c>
    </row>
    <row r="140" spans="1:6" x14ac:dyDescent="0.3">
      <c r="A140" t="s">
        <v>17</v>
      </c>
      <c r="B140">
        <v>80</v>
      </c>
      <c r="C140" s="5">
        <v>1.5749999999999931E-3</v>
      </c>
      <c r="D140">
        <v>3.4885999999999999</v>
      </c>
      <c r="E140" s="1">
        <v>0.39375000000000004</v>
      </c>
      <c r="F140" s="3">
        <v>46122</v>
      </c>
    </row>
    <row r="141" spans="1:6" x14ac:dyDescent="0.3">
      <c r="A141" t="s">
        <v>18</v>
      </c>
      <c r="B141">
        <v>80</v>
      </c>
      <c r="C141" s="5">
        <v>1.0350000000000081E-3</v>
      </c>
      <c r="D141">
        <v>2.8948</v>
      </c>
      <c r="E141" s="1">
        <v>0.39444444444444449</v>
      </c>
      <c r="F141" s="3">
        <v>46122</v>
      </c>
    </row>
    <row r="142" spans="1:6" x14ac:dyDescent="0.3">
      <c r="A142" t="s">
        <v>12</v>
      </c>
      <c r="B142">
        <v>100</v>
      </c>
      <c r="C142" s="5">
        <v>1.7000000000000127E-3</v>
      </c>
      <c r="D142">
        <v>2.5219999999999998</v>
      </c>
      <c r="E142" s="1">
        <v>0.39861111111111114</v>
      </c>
      <c r="F142" s="3">
        <v>46122</v>
      </c>
    </row>
    <row r="143" spans="1:6" x14ac:dyDescent="0.3">
      <c r="A143" t="s">
        <v>13</v>
      </c>
      <c r="B143">
        <v>100</v>
      </c>
      <c r="C143" s="5">
        <v>3.8300000000000001E-3</v>
      </c>
      <c r="D143">
        <v>4.3654000000000002</v>
      </c>
      <c r="E143" s="1">
        <v>0.4</v>
      </c>
      <c r="F143" s="3">
        <v>46122</v>
      </c>
    </row>
    <row r="144" spans="1:6" x14ac:dyDescent="0.3">
      <c r="A144" t="s">
        <v>14</v>
      </c>
      <c r="B144">
        <v>100</v>
      </c>
      <c r="C144" s="5">
        <v>2.134999999999998E-3</v>
      </c>
      <c r="D144">
        <v>2.9081000000000001</v>
      </c>
      <c r="E144" s="1">
        <v>0.4</v>
      </c>
      <c r="F144" s="3">
        <v>46122</v>
      </c>
    </row>
    <row r="145" spans="1:6" x14ac:dyDescent="0.3">
      <c r="A145" t="s">
        <v>15</v>
      </c>
      <c r="B145">
        <v>100</v>
      </c>
      <c r="C145" s="5">
        <v>8.4500000000000688E-4</v>
      </c>
      <c r="D145">
        <v>2.5194999999999999</v>
      </c>
      <c r="E145" s="1">
        <v>0.40416666666666673</v>
      </c>
      <c r="F145" s="3">
        <v>46122</v>
      </c>
    </row>
    <row r="146" spans="1:6" x14ac:dyDescent="0.3">
      <c r="A146" t="s">
        <v>16</v>
      </c>
      <c r="B146">
        <v>100</v>
      </c>
      <c r="C146" s="5">
        <v>8.8999999999999084E-4</v>
      </c>
      <c r="D146">
        <v>2.3105000000000002</v>
      </c>
      <c r="E146" s="1">
        <v>0.40625000000000006</v>
      </c>
      <c r="F146" s="3">
        <v>46122</v>
      </c>
    </row>
    <row r="147" spans="1:6" x14ac:dyDescent="0.3">
      <c r="A147" t="s">
        <v>17</v>
      </c>
      <c r="B147">
        <v>100</v>
      </c>
      <c r="C147" s="5">
        <v>1.6349999999999865E-3</v>
      </c>
      <c r="D147">
        <v>3.4559000000000002</v>
      </c>
      <c r="E147" s="1">
        <v>0.40763888888888894</v>
      </c>
      <c r="F147" s="3">
        <v>46122</v>
      </c>
    </row>
    <row r="148" spans="1:6" x14ac:dyDescent="0.3">
      <c r="A148" t="s">
        <v>18</v>
      </c>
      <c r="B148">
        <v>100</v>
      </c>
      <c r="C148" s="5">
        <v>9.1000000000001084E-4</v>
      </c>
      <c r="D148">
        <v>2.8765999999999998</v>
      </c>
      <c r="E148" s="1">
        <v>0.40833333333333338</v>
      </c>
      <c r="F148" s="3">
        <v>46122</v>
      </c>
    </row>
    <row r="149" spans="1:6" x14ac:dyDescent="0.3">
      <c r="A149" t="s">
        <v>12</v>
      </c>
      <c r="B149">
        <v>120</v>
      </c>
      <c r="C149" s="5">
        <v>1.6999999999999904E-3</v>
      </c>
      <c r="D149">
        <v>2.488</v>
      </c>
      <c r="E149" s="1">
        <v>0.41250000000000003</v>
      </c>
      <c r="F149" s="3">
        <v>46122</v>
      </c>
    </row>
    <row r="150" spans="1:6" x14ac:dyDescent="0.3">
      <c r="A150" t="s">
        <v>13</v>
      </c>
      <c r="B150">
        <v>120</v>
      </c>
      <c r="C150" s="5">
        <v>2.9850000000000154E-3</v>
      </c>
      <c r="D150">
        <v>4.3056999999999999</v>
      </c>
      <c r="E150" s="1">
        <v>0.41388888888888892</v>
      </c>
      <c r="F150" s="3">
        <v>46122</v>
      </c>
    </row>
    <row r="151" spans="1:6" x14ac:dyDescent="0.3">
      <c r="A151" t="s">
        <v>14</v>
      </c>
      <c r="B151">
        <v>120</v>
      </c>
      <c r="C151" s="5">
        <v>2.0100000000000005E-3</v>
      </c>
      <c r="D151">
        <v>2.8679000000000001</v>
      </c>
      <c r="E151" s="1">
        <v>0.41388888888888892</v>
      </c>
      <c r="F151" s="3">
        <v>46122</v>
      </c>
    </row>
    <row r="152" spans="1:6" x14ac:dyDescent="0.3">
      <c r="A152" t="s">
        <v>15</v>
      </c>
      <c r="B152">
        <v>120</v>
      </c>
      <c r="C152" s="5">
        <v>8.9500000000000137E-4</v>
      </c>
      <c r="D152">
        <v>2.5015999999999998</v>
      </c>
      <c r="E152" s="1">
        <v>0.41805555555555562</v>
      </c>
      <c r="F152" s="3">
        <v>46122</v>
      </c>
    </row>
    <row r="153" spans="1:6" x14ac:dyDescent="0.3">
      <c r="A153" t="s">
        <v>16</v>
      </c>
      <c r="B153">
        <v>120</v>
      </c>
      <c r="C153" s="5">
        <v>9.3000000000000862E-4</v>
      </c>
      <c r="D153">
        <v>2.2919</v>
      </c>
      <c r="E153" s="1">
        <v>0.42013888888888895</v>
      </c>
      <c r="F153" s="3">
        <v>46122</v>
      </c>
    </row>
    <row r="154" spans="1:6" x14ac:dyDescent="0.3">
      <c r="A154" t="s">
        <v>17</v>
      </c>
      <c r="B154">
        <v>120</v>
      </c>
      <c r="C154" s="5">
        <v>1.5700000000000048E-3</v>
      </c>
      <c r="D154">
        <v>3.4245000000000001</v>
      </c>
      <c r="E154" s="1">
        <v>0.42152777777777783</v>
      </c>
      <c r="F154" s="3">
        <v>46122</v>
      </c>
    </row>
    <row r="155" spans="1:6" x14ac:dyDescent="0.3">
      <c r="A155" t="s">
        <v>18</v>
      </c>
      <c r="B155">
        <v>120</v>
      </c>
      <c r="C155" s="5">
        <v>9.1999999999998745E-4</v>
      </c>
      <c r="D155">
        <v>2.8582000000000001</v>
      </c>
      <c r="E155" s="1">
        <v>0.42222222222222228</v>
      </c>
      <c r="F155" s="3">
        <v>46122</v>
      </c>
    </row>
    <row r="156" spans="1:6" x14ac:dyDescent="0.3">
      <c r="A156" t="s">
        <v>12</v>
      </c>
      <c r="B156">
        <v>140</v>
      </c>
      <c r="C156" s="5">
        <v>1.6049999999999897E-3</v>
      </c>
      <c r="D156">
        <v>2.4559000000000002</v>
      </c>
      <c r="E156" s="1">
        <v>0.42638888888888893</v>
      </c>
      <c r="F156" s="3">
        <v>46122</v>
      </c>
    </row>
    <row r="157" spans="1:6" x14ac:dyDescent="0.3">
      <c r="A157" t="s">
        <v>13</v>
      </c>
      <c r="B157">
        <v>140</v>
      </c>
      <c r="C157" s="5">
        <v>2.6549999999999851E-3</v>
      </c>
      <c r="D157">
        <v>4.2526000000000002</v>
      </c>
      <c r="E157" s="1">
        <v>0.42777777777777781</v>
      </c>
      <c r="F157" s="3">
        <v>46122</v>
      </c>
    </row>
    <row r="158" spans="1:6" x14ac:dyDescent="0.3">
      <c r="A158" t="s">
        <v>14</v>
      </c>
      <c r="B158">
        <v>140</v>
      </c>
      <c r="C158" s="5">
        <v>4.0000000000000034E-4</v>
      </c>
      <c r="D158">
        <v>2.8599000000000001</v>
      </c>
      <c r="E158" s="1">
        <v>0.42777777777777781</v>
      </c>
      <c r="F158" s="3">
        <v>46122</v>
      </c>
    </row>
    <row r="159" spans="1:6" x14ac:dyDescent="0.3">
      <c r="A159" t="s">
        <v>15</v>
      </c>
      <c r="B159">
        <v>140</v>
      </c>
      <c r="C159" s="5">
        <v>8.8999999999999084E-4</v>
      </c>
      <c r="D159">
        <v>2.4838</v>
      </c>
      <c r="E159" s="1">
        <v>0.43194444444444452</v>
      </c>
      <c r="F159" s="3">
        <v>46122</v>
      </c>
    </row>
    <row r="160" spans="1:6" x14ac:dyDescent="0.3">
      <c r="A160" t="s">
        <v>16</v>
      </c>
      <c r="B160">
        <v>140</v>
      </c>
      <c r="C160" s="5">
        <v>8.2999999999999741E-4</v>
      </c>
      <c r="D160">
        <v>2.2753000000000001</v>
      </c>
      <c r="E160" s="1">
        <v>0.43402777777777785</v>
      </c>
      <c r="F160" s="3">
        <v>46122</v>
      </c>
    </row>
    <row r="161" spans="1:6" x14ac:dyDescent="0.3">
      <c r="A161" t="s">
        <v>17</v>
      </c>
      <c r="B161">
        <v>140</v>
      </c>
      <c r="C161" s="5">
        <v>1.6450000000000076E-3</v>
      </c>
      <c r="D161">
        <v>3.3915999999999999</v>
      </c>
      <c r="E161" s="1">
        <v>0.43541666666666673</v>
      </c>
      <c r="F161" s="3">
        <v>46122</v>
      </c>
    </row>
    <row r="162" spans="1:6" x14ac:dyDescent="0.3">
      <c r="A162" t="s">
        <v>18</v>
      </c>
      <c r="B162">
        <v>140</v>
      </c>
      <c r="C162" s="5">
        <v>8.750000000000036E-4</v>
      </c>
      <c r="D162">
        <v>2.8407</v>
      </c>
      <c r="E162" s="1">
        <v>0.43611111111111117</v>
      </c>
      <c r="F162" s="3">
        <v>46122</v>
      </c>
    </row>
    <row r="163" spans="1:6" x14ac:dyDescent="0.3">
      <c r="A163" t="s">
        <v>12</v>
      </c>
      <c r="B163">
        <v>160</v>
      </c>
      <c r="C163" s="5">
        <v>1.4050000000000117E-3</v>
      </c>
      <c r="D163">
        <v>2.4278</v>
      </c>
      <c r="E163" s="1">
        <v>0.44027777777777782</v>
      </c>
      <c r="F163" s="3">
        <v>46122</v>
      </c>
    </row>
    <row r="164" spans="1:6" x14ac:dyDescent="0.3">
      <c r="A164" t="s">
        <v>13</v>
      </c>
      <c r="B164">
        <v>160</v>
      </c>
      <c r="C164" s="5">
        <v>2.2499999999999964E-3</v>
      </c>
      <c r="D164">
        <v>4.2076000000000002</v>
      </c>
      <c r="E164" s="1">
        <v>0.44166666666666671</v>
      </c>
      <c r="F164" s="3">
        <v>46122</v>
      </c>
    </row>
    <row r="165" spans="1:6" x14ac:dyDescent="0.3">
      <c r="A165" t="s">
        <v>14</v>
      </c>
      <c r="B165">
        <v>160</v>
      </c>
      <c r="C165" s="5">
        <v>3.1800000000000049E-3</v>
      </c>
      <c r="D165">
        <v>2.7963</v>
      </c>
      <c r="E165" s="1">
        <v>0.44166666666666671</v>
      </c>
      <c r="F165" s="3">
        <v>46122</v>
      </c>
    </row>
    <row r="166" spans="1:6" x14ac:dyDescent="0.3">
      <c r="A166" t="s">
        <v>15</v>
      </c>
      <c r="B166">
        <v>160</v>
      </c>
      <c r="C166" s="5">
        <v>9.7000000000000417E-4</v>
      </c>
      <c r="D166">
        <v>2.4643999999999999</v>
      </c>
      <c r="E166" s="1">
        <v>0.44583333333333341</v>
      </c>
      <c r="F166" s="3">
        <v>46122</v>
      </c>
    </row>
    <row r="167" spans="1:6" x14ac:dyDescent="0.3">
      <c r="A167" t="s">
        <v>16</v>
      </c>
      <c r="B167">
        <v>160</v>
      </c>
      <c r="C167" s="5">
        <v>9.2000000000000968E-4</v>
      </c>
      <c r="D167">
        <v>2.2568999999999999</v>
      </c>
      <c r="E167" s="1">
        <v>0.44791666666666674</v>
      </c>
      <c r="F167" s="3">
        <v>46122</v>
      </c>
    </row>
    <row r="168" spans="1:6" x14ac:dyDescent="0.3">
      <c r="A168" t="s">
        <v>17</v>
      </c>
      <c r="B168">
        <v>160</v>
      </c>
      <c r="C168" s="5">
        <v>1.495000000000002E-3</v>
      </c>
      <c r="D168">
        <v>3.3616999999999999</v>
      </c>
      <c r="E168" s="1">
        <v>0.44930555555555562</v>
      </c>
      <c r="F168" s="3">
        <v>46122</v>
      </c>
    </row>
    <row r="169" spans="1:6" x14ac:dyDescent="0.3">
      <c r="A169" t="s">
        <v>18</v>
      </c>
      <c r="B169">
        <v>160</v>
      </c>
      <c r="C169" s="5">
        <v>8.5999999999999412E-4</v>
      </c>
      <c r="D169">
        <v>2.8235000000000001</v>
      </c>
      <c r="E169" s="1">
        <v>0.45000000000000007</v>
      </c>
      <c r="F169" s="3">
        <v>46122</v>
      </c>
    </row>
    <row r="170" spans="1:6" x14ac:dyDescent="0.3">
      <c r="A170" t="s">
        <v>12</v>
      </c>
      <c r="B170">
        <v>180</v>
      </c>
      <c r="C170" s="5">
        <v>1.6149999999999886E-3</v>
      </c>
      <c r="D170">
        <v>2.3955000000000002</v>
      </c>
      <c r="E170" s="1">
        <v>0.45416666666666672</v>
      </c>
      <c r="F170" s="3">
        <v>46122</v>
      </c>
    </row>
    <row r="171" spans="1:6" x14ac:dyDescent="0.3">
      <c r="A171" t="s">
        <v>13</v>
      </c>
      <c r="B171">
        <v>180</v>
      </c>
      <c r="C171" s="5">
        <v>2.5050000000000237E-3</v>
      </c>
      <c r="D171">
        <v>4.1574999999999998</v>
      </c>
      <c r="E171" s="1">
        <v>0.4555555555555556</v>
      </c>
      <c r="F171" s="3">
        <v>46122</v>
      </c>
    </row>
    <row r="172" spans="1:6" x14ac:dyDescent="0.3">
      <c r="A172" t="s">
        <v>14</v>
      </c>
      <c r="B172">
        <v>180</v>
      </c>
      <c r="C172" s="5">
        <v>1.8000000000000017E-3</v>
      </c>
      <c r="D172">
        <v>2.7603</v>
      </c>
      <c r="E172" s="1">
        <v>0.4555555555555556</v>
      </c>
      <c r="F172" s="3">
        <v>46122</v>
      </c>
    </row>
    <row r="173" spans="1:6" x14ac:dyDescent="0.3">
      <c r="A173" t="s">
        <v>15</v>
      </c>
      <c r="B173">
        <v>180</v>
      </c>
      <c r="C173" s="5">
        <v>8.4500000000000688E-4</v>
      </c>
      <c r="D173">
        <v>2.4474999999999998</v>
      </c>
      <c r="E173" s="1">
        <v>0.45972222222222231</v>
      </c>
      <c r="F173" s="3">
        <v>46122</v>
      </c>
    </row>
    <row r="174" spans="1:6" x14ac:dyDescent="0.3">
      <c r="A174" t="s">
        <v>16</v>
      </c>
      <c r="B174">
        <v>180</v>
      </c>
      <c r="C174" s="5">
        <v>8.1999999999999846E-4</v>
      </c>
      <c r="D174">
        <v>2.2404999999999999</v>
      </c>
      <c r="E174" s="1">
        <v>0.46180555555555564</v>
      </c>
      <c r="F174" s="3">
        <v>46122</v>
      </c>
    </row>
    <row r="175" spans="1:6" x14ac:dyDescent="0.3">
      <c r="A175" t="s">
        <v>17</v>
      </c>
      <c r="B175">
        <v>180</v>
      </c>
      <c r="C175" s="5">
        <v>1.7249999999999987E-3</v>
      </c>
      <c r="D175">
        <v>3.3271999999999999</v>
      </c>
      <c r="E175" s="1">
        <v>0.46319444444444452</v>
      </c>
      <c r="F175" s="3">
        <v>46122</v>
      </c>
    </row>
    <row r="176" spans="1:6" x14ac:dyDescent="0.3">
      <c r="A176" t="s">
        <v>18</v>
      </c>
      <c r="B176">
        <v>180</v>
      </c>
      <c r="C176" s="5">
        <v>9.6500000000001587E-4</v>
      </c>
      <c r="D176">
        <v>2.8041999999999998</v>
      </c>
      <c r="E176" s="1">
        <v>0.46388888888888896</v>
      </c>
      <c r="F176" s="3">
        <v>46122</v>
      </c>
    </row>
    <row r="177" spans="1:6" x14ac:dyDescent="0.3">
      <c r="A177" t="s">
        <v>12</v>
      </c>
      <c r="B177">
        <v>200</v>
      </c>
      <c r="C177" s="5">
        <v>1.7249999999999987E-3</v>
      </c>
      <c r="D177">
        <v>2.3610000000000002</v>
      </c>
      <c r="E177" s="1">
        <v>0.46805555555555561</v>
      </c>
      <c r="F177" s="3">
        <v>46122</v>
      </c>
    </row>
    <row r="178" spans="1:6" x14ac:dyDescent="0.3">
      <c r="A178" t="s">
        <v>13</v>
      </c>
      <c r="B178">
        <v>200</v>
      </c>
      <c r="C178" s="5">
        <v>2.4649999999999837E-3</v>
      </c>
      <c r="D178">
        <v>4.1082000000000001</v>
      </c>
      <c r="E178" s="1">
        <v>0.4694444444444445</v>
      </c>
      <c r="F178" s="3">
        <v>46122</v>
      </c>
    </row>
    <row r="179" spans="1:6" x14ac:dyDescent="0.3">
      <c r="A179" t="s">
        <v>14</v>
      </c>
      <c r="B179">
        <v>200</v>
      </c>
      <c r="C179" s="5">
        <v>1.9649999999999945E-3</v>
      </c>
      <c r="D179">
        <v>2.7210000000000001</v>
      </c>
      <c r="E179" s="1">
        <v>0.4694444444444445</v>
      </c>
      <c r="F179" s="3">
        <v>46122</v>
      </c>
    </row>
    <row r="180" spans="1:6" x14ac:dyDescent="0.3">
      <c r="A180" t="s">
        <v>15</v>
      </c>
      <c r="B180">
        <v>200</v>
      </c>
      <c r="C180" s="5">
        <v>9.2999999999998639E-4</v>
      </c>
      <c r="D180">
        <v>2.4289000000000001</v>
      </c>
      <c r="E180" s="1">
        <v>0.4736111111111112</v>
      </c>
      <c r="F180" s="3">
        <v>46122</v>
      </c>
    </row>
    <row r="181" spans="1:6" x14ac:dyDescent="0.3">
      <c r="A181" t="s">
        <v>16</v>
      </c>
      <c r="B181">
        <v>200</v>
      </c>
      <c r="C181" s="5">
        <v>8.4500000000000688E-4</v>
      </c>
      <c r="D181">
        <v>2.2235999999999998</v>
      </c>
      <c r="E181" s="1">
        <v>0.47569444444444453</v>
      </c>
      <c r="F181" s="3">
        <v>46122</v>
      </c>
    </row>
    <row r="182" spans="1:6" x14ac:dyDescent="0.3">
      <c r="A182" t="s">
        <v>17</v>
      </c>
      <c r="B182">
        <v>200</v>
      </c>
      <c r="C182" s="5">
        <v>1.5700000000000048E-3</v>
      </c>
      <c r="D182">
        <v>3.2957999999999998</v>
      </c>
      <c r="E182" s="1">
        <v>0.47708333333333341</v>
      </c>
      <c r="F182" s="3">
        <v>46122</v>
      </c>
    </row>
    <row r="183" spans="1:6" x14ac:dyDescent="0.3">
      <c r="A183" t="s">
        <v>18</v>
      </c>
      <c r="B183">
        <v>200</v>
      </c>
      <c r="C183" s="5">
        <v>8.5999999999999412E-4</v>
      </c>
      <c r="D183">
        <v>2.7869999999999999</v>
      </c>
      <c r="E183" s="1">
        <v>0.47777777777777786</v>
      </c>
      <c r="F183" s="3">
        <v>46122</v>
      </c>
    </row>
    <row r="184" spans="1:6" x14ac:dyDescent="0.3">
      <c r="A184" t="s">
        <v>12</v>
      </c>
      <c r="B184">
        <v>220</v>
      </c>
      <c r="C184" s="5">
        <v>1.6500000000000182E-3</v>
      </c>
      <c r="D184">
        <v>2.3279999999999998</v>
      </c>
      <c r="E184" s="1">
        <v>0.48194444444444451</v>
      </c>
      <c r="F184" s="3">
        <v>46122</v>
      </c>
    </row>
    <row r="185" spans="1:6" x14ac:dyDescent="0.3">
      <c r="A185" t="s">
        <v>13</v>
      </c>
      <c r="B185">
        <v>220</v>
      </c>
      <c r="C185" s="5">
        <v>2.5949999999999918E-3</v>
      </c>
      <c r="D185">
        <v>4.0563000000000002</v>
      </c>
      <c r="E185" s="1">
        <v>0.48333333333333339</v>
      </c>
      <c r="F185" s="3">
        <v>46122</v>
      </c>
    </row>
    <row r="186" spans="1:6" x14ac:dyDescent="0.3">
      <c r="A186" t="s">
        <v>14</v>
      </c>
      <c r="B186">
        <v>220</v>
      </c>
      <c r="C186" s="5">
        <v>2.0050000000000124E-3</v>
      </c>
      <c r="D186">
        <v>2.6808999999999998</v>
      </c>
      <c r="E186" s="1">
        <v>0.48333333333333339</v>
      </c>
      <c r="F186" s="3">
        <v>46122</v>
      </c>
    </row>
    <row r="187" spans="1:6" x14ac:dyDescent="0.3">
      <c r="A187" t="s">
        <v>15</v>
      </c>
      <c r="B187">
        <v>220</v>
      </c>
      <c r="C187" s="5">
        <v>9.2000000000000968E-4</v>
      </c>
      <c r="D187">
        <v>2.4104999999999999</v>
      </c>
      <c r="E187" s="1">
        <v>0.4875000000000001</v>
      </c>
      <c r="F187" s="3">
        <v>46122</v>
      </c>
    </row>
    <row r="188" spans="1:6" x14ac:dyDescent="0.3">
      <c r="A188" t="s">
        <v>16</v>
      </c>
      <c r="B188">
        <v>220</v>
      </c>
      <c r="C188" s="5">
        <v>7.6499999999999344E-4</v>
      </c>
      <c r="D188">
        <v>2.2082999999999999</v>
      </c>
      <c r="E188" s="1">
        <v>0.48958333333333343</v>
      </c>
      <c r="F188" s="3">
        <v>46122</v>
      </c>
    </row>
    <row r="189" spans="1:6" x14ac:dyDescent="0.3">
      <c r="A189" t="s">
        <v>17</v>
      </c>
      <c r="B189">
        <v>220</v>
      </c>
      <c r="C189" s="5">
        <v>1.584999999999992E-3</v>
      </c>
      <c r="D189">
        <v>3.2641</v>
      </c>
      <c r="E189" s="1">
        <v>0.49097222222222231</v>
      </c>
      <c r="F189" s="3">
        <v>46122</v>
      </c>
    </row>
    <row r="190" spans="1:6" x14ac:dyDescent="0.3">
      <c r="A190" t="s">
        <v>18</v>
      </c>
      <c r="B190">
        <v>220</v>
      </c>
      <c r="C190" s="5">
        <v>8.9500000000000137E-4</v>
      </c>
      <c r="D190">
        <v>2.7690999999999999</v>
      </c>
      <c r="E190" s="1">
        <v>0.49166666666666675</v>
      </c>
      <c r="F190" s="3">
        <v>46122</v>
      </c>
    </row>
    <row r="191" spans="1:6" x14ac:dyDescent="0.3">
      <c r="A191" t="s">
        <v>49</v>
      </c>
      <c r="B191">
        <v>0</v>
      </c>
      <c r="C191" s="2">
        <v>0</v>
      </c>
      <c r="D191">
        <v>1.4164000000000001</v>
      </c>
      <c r="E191" s="1">
        <v>0.33819444444444446</v>
      </c>
      <c r="F191" s="3">
        <v>46129</v>
      </c>
    </row>
    <row r="192" spans="1:6" x14ac:dyDescent="0.3">
      <c r="A192" t="s">
        <v>50</v>
      </c>
      <c r="B192">
        <v>0</v>
      </c>
      <c r="C192" s="2">
        <v>0</v>
      </c>
      <c r="D192">
        <v>1.1617999999999999</v>
      </c>
      <c r="E192" s="1">
        <v>0.33958333333333335</v>
      </c>
      <c r="F192" s="3">
        <v>46129</v>
      </c>
    </row>
    <row r="193" spans="1:6" x14ac:dyDescent="0.3">
      <c r="A193" t="s">
        <v>51</v>
      </c>
      <c r="B193">
        <v>0</v>
      </c>
      <c r="C193" s="2">
        <v>0</v>
      </c>
      <c r="D193">
        <v>3.2391000000000001</v>
      </c>
      <c r="E193" s="1">
        <v>0.34027777777777779</v>
      </c>
      <c r="F193" s="3">
        <v>46129</v>
      </c>
    </row>
    <row r="194" spans="1:6" x14ac:dyDescent="0.3">
      <c r="A194" t="s">
        <v>52</v>
      </c>
      <c r="B194">
        <v>0</v>
      </c>
      <c r="C194" s="2">
        <v>0</v>
      </c>
      <c r="D194">
        <v>0.99450000000000005</v>
      </c>
      <c r="E194" s="1">
        <v>0.34166666666666667</v>
      </c>
      <c r="F194" s="3">
        <v>46129</v>
      </c>
    </row>
    <row r="195" spans="1:6" x14ac:dyDescent="0.3">
      <c r="A195" t="s">
        <v>53</v>
      </c>
      <c r="B195">
        <v>0</v>
      </c>
      <c r="C195" s="2">
        <v>0</v>
      </c>
      <c r="D195">
        <v>2.7959000000000001</v>
      </c>
      <c r="E195" s="1">
        <v>0.34236111111111112</v>
      </c>
      <c r="F195" s="3">
        <v>46129</v>
      </c>
    </row>
    <row r="196" spans="1:6" x14ac:dyDescent="0.3">
      <c r="A196" t="s">
        <v>54</v>
      </c>
      <c r="B196">
        <v>0</v>
      </c>
      <c r="C196" s="2">
        <v>0</v>
      </c>
      <c r="D196">
        <v>1.9234</v>
      </c>
      <c r="E196" s="1">
        <v>0.3444444444444445</v>
      </c>
      <c r="F196" s="3">
        <v>46129</v>
      </c>
    </row>
    <row r="197" spans="1:6" x14ac:dyDescent="0.3">
      <c r="A197" t="s">
        <v>55</v>
      </c>
      <c r="B197">
        <v>0</v>
      </c>
      <c r="C197" s="2">
        <v>0</v>
      </c>
      <c r="D197">
        <v>3.1175000000000002</v>
      </c>
      <c r="E197" s="1">
        <v>0.34513888888888894</v>
      </c>
      <c r="F197" s="3">
        <v>46129</v>
      </c>
    </row>
    <row r="198" spans="1:6" x14ac:dyDescent="0.3">
      <c r="A198" t="s">
        <v>49</v>
      </c>
      <c r="B198">
        <v>20</v>
      </c>
      <c r="C198" s="2">
        <v>9.9500000000000153E-4</v>
      </c>
      <c r="D198">
        <v>1.3965000000000001</v>
      </c>
      <c r="E198" s="1">
        <v>0.35208333333333336</v>
      </c>
      <c r="F198" s="3">
        <v>46129</v>
      </c>
    </row>
    <row r="199" spans="1:6" x14ac:dyDescent="0.3">
      <c r="A199" t="s">
        <v>50</v>
      </c>
      <c r="B199">
        <v>20</v>
      </c>
      <c r="C199" s="2">
        <v>5.1999999999999822E-4</v>
      </c>
      <c r="D199">
        <v>1.1514</v>
      </c>
      <c r="E199" s="1">
        <v>0.35347222222222224</v>
      </c>
      <c r="F199" s="3">
        <v>46129</v>
      </c>
    </row>
    <row r="200" spans="1:6" x14ac:dyDescent="0.3">
      <c r="A200" t="s">
        <v>51</v>
      </c>
      <c r="B200">
        <v>20</v>
      </c>
      <c r="C200" s="2">
        <v>1.4100000000000002E-3</v>
      </c>
      <c r="D200">
        <v>3.2109000000000001</v>
      </c>
      <c r="E200" s="1">
        <v>0.35416666666666669</v>
      </c>
      <c r="F200" s="3">
        <v>46129</v>
      </c>
    </row>
    <row r="201" spans="1:6" x14ac:dyDescent="0.3">
      <c r="A201" t="s">
        <v>52</v>
      </c>
      <c r="B201">
        <v>20</v>
      </c>
      <c r="C201" s="2">
        <v>9.3000000000000309E-4</v>
      </c>
      <c r="D201">
        <v>0.97589999999999999</v>
      </c>
      <c r="E201" s="1">
        <v>0.35555555555555557</v>
      </c>
      <c r="F201" s="3">
        <v>46129</v>
      </c>
    </row>
    <row r="202" spans="1:6" x14ac:dyDescent="0.3">
      <c r="A202" t="s">
        <v>53</v>
      </c>
      <c r="B202">
        <v>20</v>
      </c>
      <c r="C202" s="2">
        <v>1.1649999999999937E-3</v>
      </c>
      <c r="D202">
        <v>2.7726000000000002</v>
      </c>
      <c r="E202" s="1">
        <v>0.35625000000000001</v>
      </c>
      <c r="F202" s="3">
        <v>46129</v>
      </c>
    </row>
    <row r="203" spans="1:6" x14ac:dyDescent="0.3">
      <c r="A203" t="s">
        <v>54</v>
      </c>
      <c r="B203">
        <v>20</v>
      </c>
      <c r="C203" s="2">
        <v>1.3399999999999968E-3</v>
      </c>
      <c r="D203">
        <v>1.8966000000000001</v>
      </c>
      <c r="E203" s="1">
        <v>0.35833333333333339</v>
      </c>
      <c r="F203" s="3">
        <v>46129</v>
      </c>
    </row>
    <row r="204" spans="1:6" x14ac:dyDescent="0.3">
      <c r="A204" t="s">
        <v>55</v>
      </c>
      <c r="B204">
        <v>20</v>
      </c>
      <c r="C204" s="2">
        <v>1.3349999999999972E-3</v>
      </c>
      <c r="D204">
        <v>3.0908000000000002</v>
      </c>
      <c r="E204" s="1">
        <v>0.35902777777777783</v>
      </c>
      <c r="F204" s="3">
        <v>46129</v>
      </c>
    </row>
    <row r="205" spans="1:6" x14ac:dyDescent="0.3">
      <c r="A205" t="s">
        <v>49</v>
      </c>
      <c r="B205">
        <v>40</v>
      </c>
      <c r="C205" s="2">
        <v>9.9500000000000153E-4</v>
      </c>
      <c r="D205">
        <v>1.3766</v>
      </c>
      <c r="E205" s="1">
        <v>0.36597222222222225</v>
      </c>
      <c r="F205" s="3">
        <v>46129</v>
      </c>
    </row>
    <row r="206" spans="1:6" x14ac:dyDescent="0.3">
      <c r="A206" t="s">
        <v>50</v>
      </c>
      <c r="B206">
        <v>40</v>
      </c>
      <c r="C206" s="2">
        <v>4.9500000000000097E-4</v>
      </c>
      <c r="D206">
        <v>1.1415</v>
      </c>
      <c r="E206" s="1">
        <v>0.36736111111111114</v>
      </c>
      <c r="F206" s="3">
        <v>46129</v>
      </c>
    </row>
    <row r="207" spans="1:6" x14ac:dyDescent="0.3">
      <c r="A207" t="s">
        <v>51</v>
      </c>
      <c r="B207">
        <v>40</v>
      </c>
      <c r="C207" s="2">
        <v>1.3549999999999951E-3</v>
      </c>
      <c r="D207">
        <v>3.1838000000000002</v>
      </c>
      <c r="E207" s="1">
        <v>0.36805555555555558</v>
      </c>
      <c r="F207" s="3">
        <v>46129</v>
      </c>
    </row>
    <row r="208" spans="1:6" x14ac:dyDescent="0.3">
      <c r="A208" t="s">
        <v>52</v>
      </c>
      <c r="B208">
        <v>40</v>
      </c>
      <c r="C208" s="2">
        <v>9.0999999999999968E-4</v>
      </c>
      <c r="D208">
        <v>0.9577</v>
      </c>
      <c r="E208" s="1">
        <v>0.36944444444444446</v>
      </c>
      <c r="F208" s="3">
        <v>46129</v>
      </c>
    </row>
    <row r="209" spans="1:6" x14ac:dyDescent="0.3">
      <c r="A209" t="s">
        <v>53</v>
      </c>
      <c r="B209">
        <v>40</v>
      </c>
      <c r="C209" s="2">
        <v>1.3249999999999985E-3</v>
      </c>
      <c r="D209">
        <v>2.7461000000000002</v>
      </c>
      <c r="E209" s="1">
        <v>0.37013888888888891</v>
      </c>
      <c r="F209" s="3">
        <v>46129</v>
      </c>
    </row>
    <row r="210" spans="1:6" x14ac:dyDescent="0.3">
      <c r="A210" t="s">
        <v>54</v>
      </c>
      <c r="B210">
        <v>40</v>
      </c>
      <c r="C210" s="2">
        <v>1.2600000000000055E-3</v>
      </c>
      <c r="D210">
        <v>1.8714</v>
      </c>
      <c r="E210" s="1">
        <v>0.37222222222222229</v>
      </c>
      <c r="F210" s="3">
        <v>46129</v>
      </c>
    </row>
    <row r="211" spans="1:6" x14ac:dyDescent="0.3">
      <c r="A211" t="s">
        <v>55</v>
      </c>
      <c r="B211">
        <v>40</v>
      </c>
      <c r="C211" s="2">
        <v>1.2650000000000051E-3</v>
      </c>
      <c r="D211">
        <v>3.0655000000000001</v>
      </c>
      <c r="E211" s="1">
        <v>0.37291666666666673</v>
      </c>
      <c r="F211" s="3">
        <v>46129</v>
      </c>
    </row>
    <row r="212" spans="1:6" x14ac:dyDescent="0.3">
      <c r="A212" t="s">
        <v>49</v>
      </c>
      <c r="B212">
        <v>60</v>
      </c>
      <c r="C212" s="2">
        <v>9.1499999999999915E-4</v>
      </c>
      <c r="D212">
        <v>1.3583000000000001</v>
      </c>
      <c r="E212" s="1">
        <v>0.37986111111111115</v>
      </c>
      <c r="F212" s="3">
        <v>46129</v>
      </c>
    </row>
    <row r="213" spans="1:6" x14ac:dyDescent="0.3">
      <c r="A213" t="s">
        <v>50</v>
      </c>
      <c r="B213">
        <v>60</v>
      </c>
      <c r="C213" s="2">
        <v>4.3999999999999595E-4</v>
      </c>
      <c r="D213">
        <v>1.1327</v>
      </c>
      <c r="E213" s="1">
        <v>0.38125000000000003</v>
      </c>
      <c r="F213" s="3">
        <v>46129</v>
      </c>
    </row>
    <row r="214" spans="1:6" x14ac:dyDescent="0.3">
      <c r="A214" t="s">
        <v>51</v>
      </c>
      <c r="B214">
        <v>60</v>
      </c>
      <c r="C214" s="2">
        <v>1.3149999999999995E-3</v>
      </c>
      <c r="D214">
        <v>3.1575000000000002</v>
      </c>
      <c r="E214" s="1">
        <v>0.38194444444444448</v>
      </c>
      <c r="F214" s="3">
        <v>46129</v>
      </c>
    </row>
    <row r="215" spans="1:6" x14ac:dyDescent="0.3">
      <c r="A215" t="s">
        <v>52</v>
      </c>
      <c r="B215">
        <v>60</v>
      </c>
      <c r="C215" s="2">
        <v>8.3500000000000241E-4</v>
      </c>
      <c r="D215">
        <v>0.94099999999999995</v>
      </c>
      <c r="E215" s="1">
        <v>0.38333333333333336</v>
      </c>
      <c r="F215" s="3">
        <v>46129</v>
      </c>
    </row>
    <row r="216" spans="1:6" x14ac:dyDescent="0.3">
      <c r="A216" t="s">
        <v>53</v>
      </c>
      <c r="B216">
        <v>60</v>
      </c>
      <c r="C216" s="2">
        <v>8.5000000000001741E-4</v>
      </c>
      <c r="D216">
        <v>2.7290999999999999</v>
      </c>
      <c r="E216" s="1">
        <v>0.3840277777777778</v>
      </c>
      <c r="F216" s="3">
        <v>46129</v>
      </c>
    </row>
    <row r="217" spans="1:6" x14ac:dyDescent="0.3">
      <c r="A217" t="s">
        <v>54</v>
      </c>
      <c r="B217">
        <v>60</v>
      </c>
      <c r="C217" s="2">
        <v>1.2449999999999961E-3</v>
      </c>
      <c r="D217">
        <v>1.8465</v>
      </c>
      <c r="E217" s="1">
        <v>0.38611111111111118</v>
      </c>
      <c r="F217" s="3">
        <v>46129</v>
      </c>
    </row>
    <row r="218" spans="1:6" x14ac:dyDescent="0.3">
      <c r="A218" t="s">
        <v>55</v>
      </c>
      <c r="B218">
        <v>60</v>
      </c>
      <c r="C218" s="2">
        <v>1.3249999999999985E-3</v>
      </c>
      <c r="D218">
        <v>3.0390000000000001</v>
      </c>
      <c r="E218" s="1">
        <v>0.38680555555555562</v>
      </c>
      <c r="F218" s="3">
        <v>46129</v>
      </c>
    </row>
    <row r="219" spans="1:6" x14ac:dyDescent="0.3">
      <c r="A219" t="s">
        <v>49</v>
      </c>
      <c r="B219">
        <v>80</v>
      </c>
      <c r="C219" s="2">
        <v>8.8500000000000243E-4</v>
      </c>
      <c r="D219">
        <v>1.3406</v>
      </c>
      <c r="E219" s="1">
        <v>0.39375000000000004</v>
      </c>
      <c r="F219" s="3">
        <v>46129</v>
      </c>
    </row>
    <row r="220" spans="1:6" x14ac:dyDescent="0.3">
      <c r="A220" t="s">
        <v>50</v>
      </c>
      <c r="B220">
        <v>80</v>
      </c>
      <c r="C220" s="2">
        <v>4.6000000000000484E-4</v>
      </c>
      <c r="D220">
        <v>1.1234999999999999</v>
      </c>
      <c r="E220" s="1">
        <v>0.39513888888888893</v>
      </c>
      <c r="F220" s="3">
        <v>46129</v>
      </c>
    </row>
    <row r="221" spans="1:6" x14ac:dyDescent="0.3">
      <c r="A221" t="s">
        <v>51</v>
      </c>
      <c r="B221">
        <v>80</v>
      </c>
      <c r="C221" s="2">
        <v>1.2550000000000061E-3</v>
      </c>
      <c r="D221">
        <v>3.1324000000000001</v>
      </c>
      <c r="E221" s="1">
        <v>0.39583333333333337</v>
      </c>
      <c r="F221" s="3">
        <v>46129</v>
      </c>
    </row>
    <row r="222" spans="1:6" x14ac:dyDescent="0.3">
      <c r="A222" t="s">
        <v>52</v>
      </c>
      <c r="B222">
        <v>80</v>
      </c>
      <c r="C222" s="2">
        <v>7.8999999999999622E-4</v>
      </c>
      <c r="D222">
        <v>0.92520000000000002</v>
      </c>
      <c r="E222" s="1">
        <v>0.39722222222222225</v>
      </c>
      <c r="F222" s="3">
        <v>46129</v>
      </c>
    </row>
    <row r="223" spans="1:6" x14ac:dyDescent="0.3">
      <c r="A223" t="s">
        <v>53</v>
      </c>
      <c r="B223">
        <v>80</v>
      </c>
      <c r="C223" s="2">
        <v>1.0249999999999871E-3</v>
      </c>
      <c r="D223">
        <v>2.7086000000000001</v>
      </c>
      <c r="E223" s="1">
        <v>0.3979166666666667</v>
      </c>
      <c r="F223" s="3">
        <v>46129</v>
      </c>
    </row>
    <row r="224" spans="1:6" x14ac:dyDescent="0.3">
      <c r="A224" t="s">
        <v>54</v>
      </c>
      <c r="B224">
        <v>80</v>
      </c>
      <c r="C224" s="2">
        <v>1.4299999999999979E-3</v>
      </c>
      <c r="D224">
        <v>1.8179000000000001</v>
      </c>
      <c r="E224" s="1">
        <v>0.40000000000000008</v>
      </c>
      <c r="F224" s="3">
        <v>46129</v>
      </c>
    </row>
    <row r="225" spans="1:6" x14ac:dyDescent="0.3">
      <c r="A225" t="s">
        <v>55</v>
      </c>
      <c r="B225">
        <v>80</v>
      </c>
      <c r="C225" s="2">
        <v>1.4750000000000041E-3</v>
      </c>
      <c r="D225">
        <v>3.0095000000000001</v>
      </c>
      <c r="E225" s="1">
        <v>0.40069444444444452</v>
      </c>
      <c r="F225" s="3">
        <v>46129</v>
      </c>
    </row>
    <row r="226" spans="1:6" x14ac:dyDescent="0.3">
      <c r="A226" t="s">
        <v>49</v>
      </c>
      <c r="B226">
        <v>100</v>
      </c>
      <c r="C226" s="2">
        <v>9.3499999999999692E-4</v>
      </c>
      <c r="D226">
        <v>1.3219000000000001</v>
      </c>
      <c r="E226" s="1">
        <v>0.40763888888888894</v>
      </c>
      <c r="F226" s="3">
        <v>46129</v>
      </c>
    </row>
    <row r="227" spans="1:6" x14ac:dyDescent="0.3">
      <c r="A227" t="s">
        <v>50</v>
      </c>
      <c r="B227">
        <v>100</v>
      </c>
      <c r="C227" s="2">
        <v>4.5499999999999431E-4</v>
      </c>
      <c r="D227">
        <v>1.1144000000000001</v>
      </c>
      <c r="E227" s="1">
        <v>0.40902777777777782</v>
      </c>
      <c r="F227" s="3">
        <v>46129</v>
      </c>
    </row>
    <row r="228" spans="1:6" x14ac:dyDescent="0.3">
      <c r="A228" t="s">
        <v>51</v>
      </c>
      <c r="B228">
        <v>100</v>
      </c>
      <c r="C228" s="2">
        <v>1.3249999999999985E-3</v>
      </c>
      <c r="D228">
        <v>3.1059000000000001</v>
      </c>
      <c r="E228" s="1">
        <v>0.40972222222222227</v>
      </c>
      <c r="F228" s="3">
        <v>46129</v>
      </c>
    </row>
    <row r="229" spans="1:6" x14ac:dyDescent="0.3">
      <c r="A229" t="s">
        <v>52</v>
      </c>
      <c r="B229">
        <v>100</v>
      </c>
      <c r="C229" s="2">
        <v>7.8500000000000238E-4</v>
      </c>
      <c r="D229">
        <v>0.90949999999999998</v>
      </c>
      <c r="E229" s="1">
        <v>0.41111111111111115</v>
      </c>
      <c r="F229" s="3">
        <v>46129</v>
      </c>
    </row>
    <row r="230" spans="1:6" x14ac:dyDescent="0.3">
      <c r="A230" t="s">
        <v>53</v>
      </c>
      <c r="B230">
        <v>100</v>
      </c>
      <c r="C230" s="2">
        <v>1.0050000000000115E-3</v>
      </c>
      <c r="D230">
        <v>2.6884999999999999</v>
      </c>
      <c r="E230" s="1">
        <v>0.41180555555555559</v>
      </c>
      <c r="F230" s="3">
        <v>46129</v>
      </c>
    </row>
    <row r="231" spans="1:6" x14ac:dyDescent="0.3">
      <c r="A231" t="s">
        <v>54</v>
      </c>
      <c r="B231">
        <v>100</v>
      </c>
      <c r="C231" s="2">
        <v>1.1950000000000016E-3</v>
      </c>
      <c r="D231">
        <v>1.794</v>
      </c>
      <c r="E231" s="1">
        <v>0.41388888888888897</v>
      </c>
      <c r="F231" s="3">
        <v>46129</v>
      </c>
    </row>
    <row r="232" spans="1:6" x14ac:dyDescent="0.3">
      <c r="A232" t="s">
        <v>55</v>
      </c>
      <c r="B232">
        <v>100</v>
      </c>
      <c r="C232" s="2">
        <v>1.605000000000012E-3</v>
      </c>
      <c r="D232">
        <v>2.9773999999999998</v>
      </c>
      <c r="E232" s="1">
        <v>0.41458333333333341</v>
      </c>
      <c r="F232" s="3">
        <v>46129</v>
      </c>
    </row>
    <row r="233" spans="1:6" x14ac:dyDescent="0.3">
      <c r="A233" t="s">
        <v>49</v>
      </c>
      <c r="B233">
        <v>120</v>
      </c>
      <c r="C233" s="2">
        <v>9.3000000000000862E-4</v>
      </c>
      <c r="D233">
        <v>1.3032999999999999</v>
      </c>
      <c r="E233" s="1">
        <v>0.42152777777777783</v>
      </c>
      <c r="F233" s="3">
        <v>46129</v>
      </c>
    </row>
    <row r="234" spans="1:6" x14ac:dyDescent="0.3">
      <c r="A234" t="s">
        <v>50</v>
      </c>
      <c r="B234">
        <v>120</v>
      </c>
      <c r="C234" s="2">
        <v>4.4000000000000706E-4</v>
      </c>
      <c r="D234">
        <v>1.1055999999999999</v>
      </c>
      <c r="E234" s="1">
        <v>0.42291666666666672</v>
      </c>
      <c r="F234" s="3">
        <v>46129</v>
      </c>
    </row>
    <row r="235" spans="1:6" x14ac:dyDescent="0.3">
      <c r="A235" t="s">
        <v>51</v>
      </c>
      <c r="B235">
        <v>120</v>
      </c>
      <c r="C235" s="2">
        <v>1.2599999999999944E-3</v>
      </c>
      <c r="D235">
        <v>3.0807000000000002</v>
      </c>
      <c r="E235" s="1">
        <v>0.42361111111111116</v>
      </c>
      <c r="F235" s="3">
        <v>46129</v>
      </c>
    </row>
    <row r="236" spans="1:6" x14ac:dyDescent="0.3">
      <c r="A236" t="s">
        <v>52</v>
      </c>
      <c r="B236">
        <v>120</v>
      </c>
      <c r="C236" s="2">
        <v>7.9500000000000122E-4</v>
      </c>
      <c r="D236">
        <v>0.89359999999999995</v>
      </c>
      <c r="E236" s="1">
        <v>0.42500000000000004</v>
      </c>
      <c r="F236" s="3">
        <v>46129</v>
      </c>
    </row>
    <row r="237" spans="1:6" x14ac:dyDescent="0.3">
      <c r="A237" t="s">
        <v>53</v>
      </c>
      <c r="B237">
        <v>120</v>
      </c>
      <c r="C237" s="2">
        <v>9.7000000000000417E-4</v>
      </c>
      <c r="D237">
        <v>2.6690999999999998</v>
      </c>
      <c r="E237" s="1">
        <v>0.42569444444444449</v>
      </c>
      <c r="F237" s="3">
        <v>46129</v>
      </c>
    </row>
    <row r="238" spans="1:6" x14ac:dyDescent="0.3">
      <c r="A238" t="s">
        <v>54</v>
      </c>
      <c r="B238">
        <v>120</v>
      </c>
      <c r="C238" s="2">
        <v>1.055000000000006E-3</v>
      </c>
      <c r="D238">
        <v>1.7728999999999999</v>
      </c>
      <c r="E238" s="1">
        <v>0.42777777777777787</v>
      </c>
      <c r="F238" s="3">
        <v>46129</v>
      </c>
    </row>
    <row r="239" spans="1:6" x14ac:dyDescent="0.3">
      <c r="A239" t="s">
        <v>55</v>
      </c>
      <c r="B239">
        <v>120</v>
      </c>
      <c r="C239" s="2">
        <v>1.6249999999999876E-3</v>
      </c>
      <c r="D239">
        <v>2.9449000000000001</v>
      </c>
      <c r="E239" s="1">
        <v>0.42847222222222231</v>
      </c>
      <c r="F239" s="3">
        <v>46129</v>
      </c>
    </row>
    <row r="240" spans="1:6" x14ac:dyDescent="0.3">
      <c r="A240" t="s">
        <v>49</v>
      </c>
      <c r="B240">
        <v>140</v>
      </c>
      <c r="C240" s="2">
        <v>8.4999999999999518E-4</v>
      </c>
      <c r="D240">
        <v>1.2863</v>
      </c>
      <c r="E240" s="1">
        <v>0.43541666666666673</v>
      </c>
      <c r="F240" s="3">
        <v>46129</v>
      </c>
    </row>
    <row r="241" spans="1:6" x14ac:dyDescent="0.3">
      <c r="A241" t="s">
        <v>50</v>
      </c>
      <c r="B241">
        <v>140</v>
      </c>
      <c r="C241" s="2">
        <v>4.2499999999999759E-4</v>
      </c>
      <c r="D241">
        <v>1.0971</v>
      </c>
      <c r="E241" s="1">
        <v>0.43680555555555561</v>
      </c>
      <c r="F241" s="3">
        <v>46129</v>
      </c>
    </row>
    <row r="242" spans="1:6" x14ac:dyDescent="0.3">
      <c r="A242" t="s">
        <v>51</v>
      </c>
      <c r="B242">
        <v>140</v>
      </c>
      <c r="C242" s="2">
        <v>1.1550000000000171E-3</v>
      </c>
      <c r="D242">
        <v>3.0575999999999999</v>
      </c>
      <c r="E242" s="1">
        <v>0.43750000000000006</v>
      </c>
      <c r="F242" s="3">
        <v>46129</v>
      </c>
    </row>
    <row r="243" spans="1:6" x14ac:dyDescent="0.3">
      <c r="A243" t="s">
        <v>52</v>
      </c>
      <c r="B243">
        <v>140</v>
      </c>
      <c r="C243" s="2">
        <v>6.2999999999999721E-4</v>
      </c>
      <c r="D243">
        <v>0.88100000000000001</v>
      </c>
      <c r="E243" s="1">
        <v>0.43888888888888894</v>
      </c>
      <c r="F243" s="3">
        <v>46129</v>
      </c>
    </row>
    <row r="244" spans="1:6" x14ac:dyDescent="0.3">
      <c r="A244" t="s">
        <v>53</v>
      </c>
      <c r="B244">
        <v>140</v>
      </c>
      <c r="C244" s="2">
        <v>8.1999999999999846E-4</v>
      </c>
      <c r="D244">
        <v>2.6526999999999998</v>
      </c>
      <c r="E244" s="1">
        <v>0.43958333333333338</v>
      </c>
      <c r="F244" s="3">
        <v>46129</v>
      </c>
    </row>
    <row r="245" spans="1:6" x14ac:dyDescent="0.3">
      <c r="A245" t="s">
        <v>54</v>
      </c>
      <c r="B245">
        <v>140</v>
      </c>
      <c r="C245" s="2">
        <v>1.0399999999999964E-3</v>
      </c>
      <c r="D245">
        <v>1.7521</v>
      </c>
      <c r="E245" s="1">
        <v>0.44166666666666676</v>
      </c>
      <c r="F245" s="3">
        <v>46129</v>
      </c>
    </row>
    <row r="246" spans="1:6" x14ac:dyDescent="0.3">
      <c r="A246" t="s">
        <v>55</v>
      </c>
      <c r="B246">
        <v>140</v>
      </c>
      <c r="C246" s="2">
        <v>1.1700000000000044E-3</v>
      </c>
      <c r="D246">
        <v>2.9215</v>
      </c>
      <c r="E246" s="1">
        <v>0.4423611111111112</v>
      </c>
      <c r="F246" s="3">
        <v>46129</v>
      </c>
    </row>
    <row r="247" spans="1:6" x14ac:dyDescent="0.3">
      <c r="A247" t="s">
        <v>49</v>
      </c>
      <c r="B247">
        <v>160</v>
      </c>
      <c r="C247" s="2">
        <v>7.8500000000000238E-4</v>
      </c>
      <c r="D247">
        <v>1.2706</v>
      </c>
      <c r="E247" s="1">
        <v>0.44930555555555562</v>
      </c>
      <c r="F247" s="3">
        <v>46129</v>
      </c>
    </row>
    <row r="248" spans="1:6" x14ac:dyDescent="0.3">
      <c r="A248" t="s">
        <v>50</v>
      </c>
      <c r="B248">
        <v>160</v>
      </c>
      <c r="C248" s="2">
        <v>4.3499999999999648E-4</v>
      </c>
      <c r="D248">
        <v>1.0884</v>
      </c>
      <c r="E248" s="1">
        <v>0.45069444444444451</v>
      </c>
      <c r="F248" s="3">
        <v>46129</v>
      </c>
    </row>
    <row r="249" spans="1:6" x14ac:dyDescent="0.3">
      <c r="A249" t="s">
        <v>51</v>
      </c>
      <c r="B249">
        <v>160</v>
      </c>
      <c r="C249" s="2">
        <v>1.0899999999999909E-3</v>
      </c>
      <c r="D249">
        <v>3.0358000000000001</v>
      </c>
      <c r="E249" s="1">
        <v>0.45138888888888895</v>
      </c>
      <c r="F249" s="3">
        <v>46129</v>
      </c>
    </row>
    <row r="250" spans="1:6" x14ac:dyDescent="0.3">
      <c r="A250" t="s">
        <v>52</v>
      </c>
      <c r="B250">
        <v>160</v>
      </c>
      <c r="C250" s="2">
        <v>7.450000000000012E-4</v>
      </c>
      <c r="D250">
        <v>0.86609999999999998</v>
      </c>
      <c r="E250" s="1">
        <v>0.45277777777777783</v>
      </c>
      <c r="F250" s="3">
        <v>46129</v>
      </c>
    </row>
    <row r="251" spans="1:6" x14ac:dyDescent="0.3">
      <c r="A251" t="s">
        <v>53</v>
      </c>
      <c r="B251">
        <v>160</v>
      </c>
      <c r="C251" s="2">
        <v>9.3499999999999692E-4</v>
      </c>
      <c r="D251">
        <v>2.6339999999999999</v>
      </c>
      <c r="E251" s="1">
        <v>0.45347222222222228</v>
      </c>
      <c r="F251" s="3">
        <v>46129</v>
      </c>
    </row>
    <row r="252" spans="1:6" x14ac:dyDescent="0.3">
      <c r="A252" t="s">
        <v>54</v>
      </c>
      <c r="B252">
        <v>160</v>
      </c>
      <c r="C252" s="2">
        <v>1.0549999999999947E-3</v>
      </c>
      <c r="D252">
        <v>1.7310000000000001</v>
      </c>
      <c r="E252" s="1">
        <v>0.45555555555555566</v>
      </c>
      <c r="F252" s="3">
        <v>46129</v>
      </c>
    </row>
    <row r="253" spans="1:6" x14ac:dyDescent="0.3">
      <c r="A253" t="s">
        <v>55</v>
      </c>
      <c r="B253">
        <v>160</v>
      </c>
      <c r="C253" s="2">
        <v>1.1149999999999992E-3</v>
      </c>
      <c r="D253">
        <v>2.8992</v>
      </c>
      <c r="E253" s="1">
        <v>0.4562500000000001</v>
      </c>
      <c r="F253" s="3">
        <v>46129</v>
      </c>
    </row>
    <row r="254" spans="1:6" x14ac:dyDescent="0.3">
      <c r="A254" t="s">
        <v>49</v>
      </c>
      <c r="B254">
        <v>180</v>
      </c>
      <c r="C254" s="2">
        <v>9.0000000000000084E-4</v>
      </c>
      <c r="D254">
        <v>1.2525999999999999</v>
      </c>
      <c r="E254" s="1">
        <v>0.46319444444444452</v>
      </c>
      <c r="F254" s="3">
        <v>46129</v>
      </c>
    </row>
    <row r="255" spans="1:6" x14ac:dyDescent="0.3">
      <c r="A255" t="s">
        <v>50</v>
      </c>
      <c r="B255">
        <v>180</v>
      </c>
      <c r="C255" s="2">
        <v>4.149999999999987E-4</v>
      </c>
      <c r="D255">
        <v>1.0801000000000001</v>
      </c>
      <c r="E255" s="1">
        <v>0.4645833333333334</v>
      </c>
      <c r="F255" s="3">
        <v>46129</v>
      </c>
    </row>
    <row r="256" spans="1:6" x14ac:dyDescent="0.3">
      <c r="A256" t="s">
        <v>51</v>
      </c>
      <c r="B256">
        <v>180</v>
      </c>
      <c r="C256" s="2">
        <v>9.6000000000000534E-4</v>
      </c>
      <c r="D256">
        <v>3.0165999999999999</v>
      </c>
      <c r="E256" s="1">
        <v>0.46527777777777785</v>
      </c>
      <c r="F256" s="3">
        <v>46129</v>
      </c>
    </row>
    <row r="257" spans="1:6" x14ac:dyDescent="0.3">
      <c r="A257" t="s">
        <v>52</v>
      </c>
      <c r="B257">
        <v>180</v>
      </c>
      <c r="C257" s="2">
        <v>6.849999999999967E-4</v>
      </c>
      <c r="D257">
        <v>0.85240000000000005</v>
      </c>
      <c r="E257" s="1">
        <v>0.46666666666666673</v>
      </c>
      <c r="F257" s="3">
        <v>46129</v>
      </c>
    </row>
    <row r="258" spans="1:6" x14ac:dyDescent="0.3">
      <c r="A258" t="s">
        <v>53</v>
      </c>
      <c r="B258">
        <v>180</v>
      </c>
      <c r="C258" s="2">
        <v>8.2999999999999741E-4</v>
      </c>
      <c r="D258">
        <v>2.6173999999999999</v>
      </c>
      <c r="E258" s="1">
        <v>0.46736111111111117</v>
      </c>
      <c r="F258" s="3">
        <v>46129</v>
      </c>
    </row>
    <row r="259" spans="1:6" x14ac:dyDescent="0.3">
      <c r="A259" t="s">
        <v>54</v>
      </c>
      <c r="B259">
        <v>180</v>
      </c>
      <c r="C259" s="2">
        <v>9.3000000000000862E-4</v>
      </c>
      <c r="D259">
        <v>1.7123999999999999</v>
      </c>
      <c r="E259" s="1">
        <v>0.46944444444444455</v>
      </c>
      <c r="F259" s="3">
        <v>46129</v>
      </c>
    </row>
    <row r="260" spans="1:6" x14ac:dyDescent="0.3">
      <c r="A260" t="s">
        <v>55</v>
      </c>
      <c r="B260">
        <v>180</v>
      </c>
      <c r="C260" s="2">
        <v>1.0199999999999988E-3</v>
      </c>
      <c r="D260">
        <v>2.8788</v>
      </c>
      <c r="E260" s="1">
        <v>0.47013888888888899</v>
      </c>
      <c r="F260" s="3">
        <v>46129</v>
      </c>
    </row>
    <row r="261" spans="1:6" x14ac:dyDescent="0.3">
      <c r="A261" t="s">
        <v>49</v>
      </c>
      <c r="B261">
        <v>200</v>
      </c>
      <c r="C261" s="2">
        <v>7.8499999999999122E-4</v>
      </c>
      <c r="D261">
        <v>1.2369000000000001</v>
      </c>
      <c r="E261" s="1">
        <v>0.47708333333333341</v>
      </c>
      <c r="F261" s="3">
        <v>46129</v>
      </c>
    </row>
    <row r="262" spans="1:6" x14ac:dyDescent="0.3">
      <c r="A262" t="s">
        <v>50</v>
      </c>
      <c r="B262">
        <v>200</v>
      </c>
      <c r="C262" s="2">
        <v>3.750000000000031E-4</v>
      </c>
      <c r="D262">
        <v>1.0726</v>
      </c>
      <c r="E262" s="1">
        <v>0.4784722222222223</v>
      </c>
      <c r="F262" s="3">
        <v>46129</v>
      </c>
    </row>
    <row r="263" spans="1:6" x14ac:dyDescent="0.3">
      <c r="A263" t="s">
        <v>51</v>
      </c>
      <c r="B263">
        <v>200</v>
      </c>
      <c r="C263" s="2">
        <v>9.2999999999998639E-4</v>
      </c>
      <c r="D263">
        <v>2.9980000000000002</v>
      </c>
      <c r="E263" s="1">
        <v>0.47916666666666674</v>
      </c>
      <c r="F263" s="3">
        <v>46129</v>
      </c>
    </row>
    <row r="264" spans="1:6" x14ac:dyDescent="0.3">
      <c r="A264" t="s">
        <v>52</v>
      </c>
      <c r="B264">
        <v>200</v>
      </c>
      <c r="C264" s="2">
        <v>7.1500000000000448E-4</v>
      </c>
      <c r="D264">
        <v>0.83809999999999996</v>
      </c>
      <c r="E264" s="1">
        <v>0.48055555555555562</v>
      </c>
      <c r="F264" s="3">
        <v>46129</v>
      </c>
    </row>
    <row r="265" spans="1:6" x14ac:dyDescent="0.3">
      <c r="A265" t="s">
        <v>53</v>
      </c>
      <c r="B265">
        <v>200</v>
      </c>
      <c r="C265" s="2">
        <v>8.4500000000000688E-4</v>
      </c>
      <c r="D265">
        <v>2.6004999999999998</v>
      </c>
      <c r="E265" s="1">
        <v>0.48125000000000007</v>
      </c>
      <c r="F265" s="3">
        <v>46129</v>
      </c>
    </row>
    <row r="266" spans="1:6" x14ac:dyDescent="0.3">
      <c r="A266" t="s">
        <v>54</v>
      </c>
      <c r="B266">
        <v>200</v>
      </c>
      <c r="C266" s="2">
        <v>9.5999999999999417E-4</v>
      </c>
      <c r="D266">
        <v>1.6932</v>
      </c>
      <c r="E266" s="1">
        <v>0.48333333333333345</v>
      </c>
      <c r="F266" s="3">
        <v>46129</v>
      </c>
    </row>
    <row r="267" spans="1:6" x14ac:dyDescent="0.3">
      <c r="A267" t="s">
        <v>55</v>
      </c>
      <c r="B267">
        <v>200</v>
      </c>
      <c r="C267" s="2">
        <v>1.0650000000000047E-3</v>
      </c>
      <c r="D267">
        <v>2.8574999999999999</v>
      </c>
      <c r="E267" s="1">
        <v>0.48402777777777789</v>
      </c>
      <c r="F267" s="3">
        <v>46129</v>
      </c>
    </row>
    <row r="268" spans="1:6" x14ac:dyDescent="0.3">
      <c r="A268" t="s">
        <v>49</v>
      </c>
      <c r="B268">
        <v>220</v>
      </c>
      <c r="C268" s="2">
        <v>7.9000000000000186E-4</v>
      </c>
      <c r="D268">
        <v>1.2211000000000001</v>
      </c>
      <c r="E268" s="1">
        <v>0.49097222222222231</v>
      </c>
      <c r="F268" s="3">
        <v>46129</v>
      </c>
    </row>
    <row r="269" spans="1:6" x14ac:dyDescent="0.3">
      <c r="A269" t="s">
        <v>50</v>
      </c>
      <c r="B269">
        <v>220</v>
      </c>
      <c r="C269" s="2">
        <v>4.5500000000000542E-4</v>
      </c>
      <c r="D269">
        <v>1.0634999999999999</v>
      </c>
      <c r="E269" s="1">
        <v>0.49236111111111119</v>
      </c>
      <c r="F269" s="3">
        <v>46129</v>
      </c>
    </row>
    <row r="270" spans="1:6" x14ac:dyDescent="0.3">
      <c r="A270" t="s">
        <v>51</v>
      </c>
      <c r="B270">
        <v>220</v>
      </c>
      <c r="C270" s="2">
        <v>9.8500000000001364E-4</v>
      </c>
      <c r="D270">
        <v>2.9782999999999999</v>
      </c>
      <c r="E270" s="1">
        <v>0.49305555555555564</v>
      </c>
      <c r="F270" s="3">
        <v>46129</v>
      </c>
    </row>
    <row r="271" spans="1:6" x14ac:dyDescent="0.3">
      <c r="A271" t="s">
        <v>52</v>
      </c>
      <c r="B271">
        <v>220</v>
      </c>
      <c r="C271" s="2">
        <v>6.4499999999999562E-4</v>
      </c>
      <c r="D271">
        <v>0.82520000000000004</v>
      </c>
      <c r="E271" s="1">
        <v>0.49444444444444452</v>
      </c>
      <c r="F271" s="3">
        <v>46129</v>
      </c>
    </row>
    <row r="272" spans="1:6" x14ac:dyDescent="0.3">
      <c r="A272" t="s">
        <v>53</v>
      </c>
      <c r="B272">
        <v>220</v>
      </c>
      <c r="C272" s="2">
        <v>7.4499999999999567E-4</v>
      </c>
      <c r="D272">
        <v>2.5855999999999999</v>
      </c>
      <c r="E272" s="1">
        <v>0.49513888888888896</v>
      </c>
      <c r="F272" s="3">
        <v>46129</v>
      </c>
    </row>
    <row r="273" spans="1:6" x14ac:dyDescent="0.3">
      <c r="A273" t="s">
        <v>54</v>
      </c>
      <c r="B273">
        <v>220</v>
      </c>
      <c r="C273" s="2">
        <v>1.0199999999999988E-3</v>
      </c>
      <c r="D273">
        <v>1.6728000000000001</v>
      </c>
      <c r="E273" s="1">
        <v>0.49722222222222234</v>
      </c>
      <c r="F273" s="3">
        <v>46129</v>
      </c>
    </row>
    <row r="274" spans="1:6" x14ac:dyDescent="0.3">
      <c r="A274" t="s">
        <v>55</v>
      </c>
      <c r="B274">
        <v>220</v>
      </c>
      <c r="C274" s="2">
        <v>1.0699999999999933E-3</v>
      </c>
      <c r="D274">
        <v>2.8361000000000001</v>
      </c>
      <c r="E274" s="1">
        <v>0.49791666666666679</v>
      </c>
      <c r="F274" s="3">
        <v>46129</v>
      </c>
    </row>
    <row r="275" spans="1:6" x14ac:dyDescent="0.3">
      <c r="A275" t="s">
        <v>49</v>
      </c>
      <c r="B275">
        <v>240</v>
      </c>
      <c r="C275" s="2">
        <v>8.0000000000000069E-4</v>
      </c>
      <c r="D275">
        <v>1.2051000000000001</v>
      </c>
      <c r="E275" s="1">
        <v>0.5048611111111112</v>
      </c>
      <c r="F275" s="3">
        <v>46129</v>
      </c>
    </row>
    <row r="276" spans="1:6" x14ac:dyDescent="0.3">
      <c r="A276" t="s">
        <v>50</v>
      </c>
      <c r="B276">
        <v>240</v>
      </c>
      <c r="C276" s="2">
        <v>3.9999999999998923E-4</v>
      </c>
      <c r="D276">
        <v>1.0555000000000001</v>
      </c>
      <c r="E276" s="1">
        <v>0.50625000000000009</v>
      </c>
      <c r="F276" s="3">
        <v>46129</v>
      </c>
    </row>
    <row r="277" spans="1:6" x14ac:dyDescent="0.3">
      <c r="A277" t="s">
        <v>51</v>
      </c>
      <c r="B277">
        <v>240</v>
      </c>
      <c r="C277" s="2">
        <v>9.9000000000000195E-4</v>
      </c>
      <c r="D277">
        <v>2.9584999999999999</v>
      </c>
      <c r="E277" s="1">
        <v>0.50694444444444453</v>
      </c>
      <c r="F277" s="3">
        <v>46129</v>
      </c>
    </row>
    <row r="278" spans="1:6" x14ac:dyDescent="0.3">
      <c r="A278" t="s">
        <v>52</v>
      </c>
      <c r="B278">
        <v>240</v>
      </c>
      <c r="C278" s="2">
        <v>6.7000000000000393E-4</v>
      </c>
      <c r="D278">
        <v>0.81179999999999997</v>
      </c>
      <c r="E278" s="1">
        <v>0.50833333333333341</v>
      </c>
      <c r="F278" s="3">
        <v>46129</v>
      </c>
    </row>
    <row r="279" spans="1:6" x14ac:dyDescent="0.3">
      <c r="A279" t="s">
        <v>53</v>
      </c>
      <c r="B279">
        <v>240</v>
      </c>
      <c r="C279" s="2">
        <v>7.5499999999999461E-4</v>
      </c>
      <c r="D279">
        <v>2.5705</v>
      </c>
      <c r="E279" s="1">
        <v>0.50902777777777786</v>
      </c>
      <c r="F279" s="3">
        <v>46129</v>
      </c>
    </row>
    <row r="280" spans="1:6" x14ac:dyDescent="0.3">
      <c r="A280" t="s">
        <v>54</v>
      </c>
      <c r="B280">
        <v>240</v>
      </c>
      <c r="C280" s="2">
        <v>8.8000000000000296E-4</v>
      </c>
      <c r="D280">
        <v>1.6552</v>
      </c>
      <c r="E280" s="1">
        <v>0.51111111111111118</v>
      </c>
      <c r="F280" s="3">
        <v>46129</v>
      </c>
    </row>
    <row r="281" spans="1:6" x14ac:dyDescent="0.3">
      <c r="A281" t="s">
        <v>55</v>
      </c>
      <c r="B281">
        <v>240</v>
      </c>
      <c r="C281" s="2">
        <v>9.1499999999999915E-4</v>
      </c>
      <c r="D281">
        <v>2.8178000000000001</v>
      </c>
      <c r="E281" s="1">
        <v>0.51180555555555562</v>
      </c>
      <c r="F281" s="3">
        <v>46129</v>
      </c>
    </row>
    <row r="282" spans="1:6" x14ac:dyDescent="0.3">
      <c r="A282" t="s">
        <v>49</v>
      </c>
      <c r="B282">
        <v>260</v>
      </c>
      <c r="C282" s="5">
        <v>8.0999999999999963E-4</v>
      </c>
      <c r="D282">
        <v>1.1889000000000001</v>
      </c>
      <c r="E282" s="1">
        <v>0.51875000000000004</v>
      </c>
      <c r="F282" s="3">
        <v>46129</v>
      </c>
    </row>
    <row r="283" spans="1:6" x14ac:dyDescent="0.3">
      <c r="A283" t="s">
        <v>50</v>
      </c>
      <c r="B283">
        <v>260</v>
      </c>
      <c r="C283" s="5">
        <v>3.8000000000000257E-4</v>
      </c>
      <c r="D283">
        <v>1.0479000000000001</v>
      </c>
      <c r="E283" s="1">
        <v>0.52013888888888893</v>
      </c>
      <c r="F283" s="3">
        <v>46129</v>
      </c>
    </row>
    <row r="284" spans="1:6" x14ac:dyDescent="0.3">
      <c r="A284" t="s">
        <v>51</v>
      </c>
      <c r="B284">
        <v>260</v>
      </c>
      <c r="C284" s="5">
        <v>9.4499999999999587E-4</v>
      </c>
      <c r="D284">
        <v>2.9396</v>
      </c>
      <c r="E284" s="1">
        <v>0.52083333333333337</v>
      </c>
      <c r="F284" s="3">
        <v>46129</v>
      </c>
    </row>
    <row r="285" spans="1:6" x14ac:dyDescent="0.3">
      <c r="A285" t="s">
        <v>52</v>
      </c>
      <c r="B285">
        <v>260</v>
      </c>
      <c r="C285" s="5">
        <v>5.7999999999999718E-4</v>
      </c>
      <c r="D285">
        <v>0.80020000000000002</v>
      </c>
      <c r="E285" s="1">
        <v>0.52222222222222225</v>
      </c>
      <c r="F285" s="3">
        <v>46129</v>
      </c>
    </row>
    <row r="286" spans="1:6" x14ac:dyDescent="0.3">
      <c r="A286" t="s">
        <v>53</v>
      </c>
      <c r="B286">
        <v>260</v>
      </c>
      <c r="C286" s="5">
        <v>6.3500000000000774E-4</v>
      </c>
      <c r="D286">
        <v>2.5577999999999999</v>
      </c>
      <c r="E286" s="1">
        <v>0.5229166666666667</v>
      </c>
      <c r="F286" s="3">
        <v>46129</v>
      </c>
    </row>
    <row r="287" spans="1:6" x14ac:dyDescent="0.3">
      <c r="A287" t="s">
        <v>54</v>
      </c>
      <c r="B287">
        <v>260</v>
      </c>
      <c r="C287" s="5">
        <v>1.0099999999999998E-3</v>
      </c>
      <c r="D287">
        <v>1.635</v>
      </c>
      <c r="E287" s="1">
        <v>0.52500000000000002</v>
      </c>
      <c r="F287" s="3">
        <v>46129</v>
      </c>
    </row>
    <row r="288" spans="1:6" x14ac:dyDescent="0.3">
      <c r="A288" t="s">
        <v>55</v>
      </c>
      <c r="B288">
        <v>260</v>
      </c>
      <c r="C288" s="5">
        <v>9.7000000000000417E-4</v>
      </c>
      <c r="D288">
        <v>2.7984</v>
      </c>
      <c r="E288" s="1">
        <v>0.52569444444444446</v>
      </c>
      <c r="F288" s="3">
        <v>46129</v>
      </c>
    </row>
    <row r="289" spans="1:6" x14ac:dyDescent="0.3">
      <c r="A289" t="s">
        <v>49</v>
      </c>
      <c r="B289">
        <v>280</v>
      </c>
      <c r="C289" s="5">
        <v>7.8500000000000238E-4</v>
      </c>
      <c r="D289">
        <v>1.1732</v>
      </c>
      <c r="E289" s="1">
        <v>0.53263888888888888</v>
      </c>
      <c r="F289" s="3">
        <v>46129</v>
      </c>
    </row>
    <row r="290" spans="1:6" x14ac:dyDescent="0.3">
      <c r="A290" t="s">
        <v>50</v>
      </c>
      <c r="B290">
        <v>280</v>
      </c>
      <c r="C290" s="5">
        <v>3.6000000000000474E-4</v>
      </c>
      <c r="D290">
        <v>1.0407</v>
      </c>
      <c r="E290" s="1">
        <v>0.53402777777777777</v>
      </c>
      <c r="F290" s="3">
        <v>46129</v>
      </c>
    </row>
    <row r="291" spans="1:6" x14ac:dyDescent="0.3">
      <c r="A291" t="s">
        <v>51</v>
      </c>
      <c r="B291">
        <v>280</v>
      </c>
      <c r="C291" s="5">
        <v>8.2999999999999741E-4</v>
      </c>
      <c r="D291">
        <v>2.923</v>
      </c>
      <c r="E291" s="1">
        <v>0.53472222222222221</v>
      </c>
      <c r="F291" s="3">
        <v>46129</v>
      </c>
    </row>
    <row r="292" spans="1:6" x14ac:dyDescent="0.3">
      <c r="A292" t="s">
        <v>52</v>
      </c>
      <c r="B292">
        <v>280</v>
      </c>
      <c r="C292" s="5">
        <v>6.2500000000000337E-4</v>
      </c>
      <c r="D292">
        <v>0.78769999999999996</v>
      </c>
      <c r="E292" s="1">
        <v>0.53611111111111109</v>
      </c>
      <c r="F292" s="3">
        <v>46129</v>
      </c>
    </row>
    <row r="293" spans="1:6" x14ac:dyDescent="0.3">
      <c r="A293" t="s">
        <v>53</v>
      </c>
      <c r="B293">
        <v>280</v>
      </c>
      <c r="C293" s="5">
        <v>7.4999999999998397E-4</v>
      </c>
      <c r="D293">
        <v>2.5428000000000002</v>
      </c>
      <c r="E293" s="1">
        <v>0.53680555555555554</v>
      </c>
      <c r="F293" s="3">
        <v>46129</v>
      </c>
    </row>
    <row r="294" spans="1:6" x14ac:dyDescent="0.3">
      <c r="A294" t="s">
        <v>54</v>
      </c>
      <c r="B294">
        <v>280</v>
      </c>
      <c r="C294" s="5">
        <v>9.80000000000003E-4</v>
      </c>
      <c r="D294">
        <v>1.6153999999999999</v>
      </c>
      <c r="E294" s="1">
        <v>0.53888888888888886</v>
      </c>
      <c r="F294" s="3">
        <v>46129</v>
      </c>
    </row>
    <row r="295" spans="1:6" x14ac:dyDescent="0.3">
      <c r="A295" t="s">
        <v>55</v>
      </c>
      <c r="B295">
        <v>280</v>
      </c>
      <c r="C295" s="5">
        <v>1.1349999999999971E-3</v>
      </c>
      <c r="D295">
        <v>2.7757000000000001</v>
      </c>
      <c r="E295" s="1">
        <v>0.5395833333333333</v>
      </c>
      <c r="F295" s="3">
        <v>46129</v>
      </c>
    </row>
    <row r="296" spans="1:6" x14ac:dyDescent="0.3">
      <c r="A296" t="s">
        <v>49</v>
      </c>
      <c r="B296">
        <v>300</v>
      </c>
      <c r="C296" s="5">
        <v>7.3999999999999619E-4</v>
      </c>
      <c r="D296">
        <v>1.1584000000000001</v>
      </c>
      <c r="E296" s="1">
        <v>0.54652777777777772</v>
      </c>
      <c r="F296" s="3">
        <v>46129</v>
      </c>
    </row>
    <row r="297" spans="1:6" x14ac:dyDescent="0.3">
      <c r="A297" t="s">
        <v>50</v>
      </c>
      <c r="B297">
        <v>300</v>
      </c>
      <c r="C297" s="5">
        <v>3.9500000000000093E-4</v>
      </c>
      <c r="D297">
        <v>1.0327999999999999</v>
      </c>
      <c r="E297" s="1">
        <v>0.54791666666666661</v>
      </c>
      <c r="F297" s="3">
        <v>46129</v>
      </c>
    </row>
    <row r="298" spans="1:6" x14ac:dyDescent="0.3">
      <c r="A298" t="s">
        <v>51</v>
      </c>
      <c r="B298">
        <v>300</v>
      </c>
      <c r="C298" s="5">
        <v>9.2499999999999809E-4</v>
      </c>
      <c r="D298">
        <v>2.9045000000000001</v>
      </c>
      <c r="E298" s="1">
        <v>0.54861111111111105</v>
      </c>
      <c r="F298" s="3">
        <v>46129</v>
      </c>
    </row>
    <row r="299" spans="1:6" x14ac:dyDescent="0.3">
      <c r="A299" t="s">
        <v>52</v>
      </c>
      <c r="B299">
        <v>300</v>
      </c>
      <c r="C299" s="5">
        <v>6.0999999999999943E-4</v>
      </c>
      <c r="D299">
        <v>0.77549999999999997</v>
      </c>
      <c r="E299" s="1">
        <v>0.54999999999999993</v>
      </c>
      <c r="F299" s="3">
        <v>46129</v>
      </c>
    </row>
    <row r="300" spans="1:6" x14ac:dyDescent="0.3">
      <c r="A300" t="s">
        <v>53</v>
      </c>
      <c r="B300">
        <v>300</v>
      </c>
      <c r="C300" s="5">
        <v>7.4500000000001789E-4</v>
      </c>
      <c r="D300">
        <v>2.5278999999999998</v>
      </c>
      <c r="E300" s="1">
        <v>0.55069444444444438</v>
      </c>
      <c r="F300" s="3">
        <v>46129</v>
      </c>
    </row>
    <row r="301" spans="1:6" x14ac:dyDescent="0.3">
      <c r="A301" t="s">
        <v>54</v>
      </c>
      <c r="B301">
        <v>300</v>
      </c>
      <c r="C301" s="5">
        <v>9.6499999999999364E-4</v>
      </c>
      <c r="D301">
        <v>1.5961000000000001</v>
      </c>
      <c r="E301" s="1">
        <v>0.5527777777777777</v>
      </c>
      <c r="F301" s="3">
        <v>46129</v>
      </c>
    </row>
    <row r="302" spans="1:6" x14ac:dyDescent="0.3">
      <c r="A302" t="s">
        <v>55</v>
      </c>
      <c r="B302">
        <v>300</v>
      </c>
      <c r="C302" s="5">
        <v>8.3500000000000794E-4</v>
      </c>
      <c r="D302">
        <v>2.7589999999999999</v>
      </c>
      <c r="E302" s="1">
        <v>0.55347222222222214</v>
      </c>
      <c r="F302" s="3">
        <v>46129</v>
      </c>
    </row>
    <row r="303" spans="1:6" x14ac:dyDescent="0.3">
      <c r="A303" t="s">
        <v>33</v>
      </c>
      <c r="B303">
        <v>0</v>
      </c>
      <c r="C303" s="2">
        <v>1.969999999999983E-3</v>
      </c>
      <c r="D303">
        <v>2.4342000000000001</v>
      </c>
      <c r="E303" s="1">
        <v>0.3263888888888889</v>
      </c>
      <c r="F303" s="3">
        <v>46126</v>
      </c>
    </row>
    <row r="304" spans="1:6" x14ac:dyDescent="0.3">
      <c r="A304" t="s">
        <v>25</v>
      </c>
      <c r="B304">
        <v>0</v>
      </c>
      <c r="C304" s="2">
        <v>1.960000000000006E-3</v>
      </c>
      <c r="D304">
        <v>2.8195999999999999</v>
      </c>
      <c r="E304" s="1">
        <v>0.32708333333333334</v>
      </c>
      <c r="F304" s="3">
        <v>46126</v>
      </c>
    </row>
    <row r="305" spans="1:6" x14ac:dyDescent="0.3">
      <c r="A305" t="s">
        <v>26</v>
      </c>
      <c r="B305">
        <v>0</v>
      </c>
      <c r="C305" s="2">
        <v>2.0049999999999903E-3</v>
      </c>
      <c r="D305">
        <v>2.4992000000000001</v>
      </c>
      <c r="E305" s="1">
        <v>0.32708333333333334</v>
      </c>
      <c r="F305" s="3">
        <v>46126</v>
      </c>
    </row>
    <row r="306" spans="1:6" x14ac:dyDescent="0.3">
      <c r="A306" t="s">
        <v>27</v>
      </c>
      <c r="B306">
        <v>0</v>
      </c>
      <c r="C306" s="2">
        <v>3.7499999999999198E-4</v>
      </c>
      <c r="D306">
        <v>3.1930000000000001</v>
      </c>
      <c r="E306" s="1">
        <v>0.32777777777777778</v>
      </c>
      <c r="F306" s="3">
        <v>46126</v>
      </c>
    </row>
    <row r="307" spans="1:6" x14ac:dyDescent="0.3">
      <c r="A307" t="s">
        <v>28</v>
      </c>
      <c r="B307">
        <v>0</v>
      </c>
      <c r="C307" s="2">
        <v>1.2150000000000106E-3</v>
      </c>
      <c r="D307">
        <v>2.6242999999999999</v>
      </c>
      <c r="E307" s="1">
        <v>0.32777777777777778</v>
      </c>
      <c r="F307" s="3">
        <v>46126</v>
      </c>
    </row>
    <row r="308" spans="1:6" x14ac:dyDescent="0.3">
      <c r="A308" t="s">
        <v>2</v>
      </c>
      <c r="B308">
        <v>0</v>
      </c>
      <c r="C308" s="2">
        <v>6.7000000000001498E-4</v>
      </c>
      <c r="D308">
        <v>3.4914999999999998</v>
      </c>
      <c r="E308" s="1">
        <v>0.32777777777777778</v>
      </c>
      <c r="F308" s="3">
        <v>46126</v>
      </c>
    </row>
    <row r="309" spans="1:6" x14ac:dyDescent="0.3">
      <c r="A309" t="s">
        <v>29</v>
      </c>
      <c r="B309">
        <v>0</v>
      </c>
      <c r="C309" s="2">
        <v>7.7000000000000397E-4</v>
      </c>
      <c r="D309">
        <v>2.1545000000000001</v>
      </c>
      <c r="E309" s="1">
        <v>0.32847222222222222</v>
      </c>
      <c r="F309" s="3">
        <v>46126</v>
      </c>
    </row>
    <row r="310" spans="1:6" x14ac:dyDescent="0.3">
      <c r="A310" t="s">
        <v>33</v>
      </c>
      <c r="B310">
        <v>20</v>
      </c>
      <c r="C310" s="2">
        <v>1.6600000000000169E-3</v>
      </c>
      <c r="D310">
        <v>2.4009999999999998</v>
      </c>
      <c r="E310" s="1">
        <v>0.34027777777777779</v>
      </c>
      <c r="F310" s="3">
        <v>46126</v>
      </c>
    </row>
    <row r="311" spans="1:6" x14ac:dyDescent="0.3">
      <c r="A311" t="s">
        <v>25</v>
      </c>
      <c r="B311">
        <v>20</v>
      </c>
      <c r="C311" s="2">
        <v>1.8499999999999962E-3</v>
      </c>
      <c r="D311">
        <v>2.7826</v>
      </c>
      <c r="E311" s="1">
        <v>0.34097222222222223</v>
      </c>
      <c r="F311" s="3">
        <v>46126</v>
      </c>
    </row>
    <row r="312" spans="1:6" x14ac:dyDescent="0.3">
      <c r="A312" t="s">
        <v>26</v>
      </c>
      <c r="B312">
        <v>20</v>
      </c>
      <c r="C312" s="2">
        <v>2.0100000000000005E-3</v>
      </c>
      <c r="D312">
        <v>2.4590000000000001</v>
      </c>
      <c r="E312" s="1">
        <v>0.34097222222222223</v>
      </c>
      <c r="F312" s="3">
        <v>46126</v>
      </c>
    </row>
    <row r="313" spans="1:6" x14ac:dyDescent="0.3">
      <c r="A313" t="s">
        <v>27</v>
      </c>
      <c r="B313">
        <v>20</v>
      </c>
      <c r="C313" s="2">
        <v>1.2599999999999944E-3</v>
      </c>
      <c r="D313">
        <v>3.1678000000000002</v>
      </c>
      <c r="E313" s="1">
        <v>0.34166666666666667</v>
      </c>
      <c r="F313" s="3">
        <v>46126</v>
      </c>
    </row>
    <row r="314" spans="1:6" x14ac:dyDescent="0.3">
      <c r="A314" t="s">
        <v>28</v>
      </c>
      <c r="B314">
        <v>20</v>
      </c>
      <c r="C314" s="2">
        <v>2.6249999999999885E-3</v>
      </c>
      <c r="D314">
        <v>2.5718000000000001</v>
      </c>
      <c r="E314" s="1">
        <v>0.34166666666666667</v>
      </c>
      <c r="F314" s="3">
        <v>46126</v>
      </c>
    </row>
    <row r="315" spans="1:6" x14ac:dyDescent="0.3">
      <c r="A315" t="s">
        <v>2</v>
      </c>
      <c r="B315">
        <v>20</v>
      </c>
      <c r="C315" s="2">
        <v>1.794999999999991E-3</v>
      </c>
      <c r="D315">
        <v>3.4556</v>
      </c>
      <c r="E315" s="1">
        <v>0.34166666666666667</v>
      </c>
      <c r="F315" s="3">
        <v>46126</v>
      </c>
    </row>
    <row r="316" spans="1:6" x14ac:dyDescent="0.3">
      <c r="A316" t="s">
        <v>29</v>
      </c>
      <c r="B316">
        <v>20</v>
      </c>
      <c r="C316" s="2">
        <v>1.8100000000000004E-3</v>
      </c>
      <c r="D316">
        <v>2.1183000000000001</v>
      </c>
      <c r="E316" s="1">
        <v>0.34236111111111112</v>
      </c>
      <c r="F316" s="3">
        <v>46126</v>
      </c>
    </row>
    <row r="317" spans="1:6" x14ac:dyDescent="0.3">
      <c r="A317" t="s">
        <v>33</v>
      </c>
      <c r="B317">
        <v>40</v>
      </c>
      <c r="C317" s="2">
        <v>1.1299999999999865E-3</v>
      </c>
      <c r="D317">
        <v>2.3784000000000001</v>
      </c>
      <c r="E317" s="1">
        <v>0.35416666666666669</v>
      </c>
      <c r="F317" s="3">
        <v>46126</v>
      </c>
    </row>
    <row r="318" spans="1:6" x14ac:dyDescent="0.3">
      <c r="A318" t="s">
        <v>25</v>
      </c>
      <c r="B318">
        <v>40</v>
      </c>
      <c r="C318" s="2">
        <v>1.1749999999999927E-3</v>
      </c>
      <c r="D318">
        <v>2.7591000000000001</v>
      </c>
      <c r="E318" s="1">
        <v>0.35486111111111113</v>
      </c>
      <c r="F318" s="3">
        <v>46126</v>
      </c>
    </row>
    <row r="319" spans="1:6" x14ac:dyDescent="0.3">
      <c r="A319" t="s">
        <v>26</v>
      </c>
      <c r="B319">
        <v>40</v>
      </c>
      <c r="C319" s="2">
        <v>1.1400000000000078E-3</v>
      </c>
      <c r="D319">
        <v>2.4361999999999999</v>
      </c>
      <c r="E319" s="1">
        <v>0.35486111111111113</v>
      </c>
      <c r="F319" s="3">
        <v>46126</v>
      </c>
    </row>
    <row r="320" spans="1:6" x14ac:dyDescent="0.3">
      <c r="A320" t="s">
        <v>27</v>
      </c>
      <c r="B320">
        <v>40</v>
      </c>
      <c r="C320" s="2">
        <v>1.0000000000000009E-3</v>
      </c>
      <c r="D320">
        <v>3.1478000000000002</v>
      </c>
      <c r="E320" s="1">
        <v>0.35555555555555557</v>
      </c>
      <c r="F320" s="3">
        <v>46126</v>
      </c>
    </row>
    <row r="321" spans="1:6" x14ac:dyDescent="0.3">
      <c r="A321" t="s">
        <v>28</v>
      </c>
      <c r="B321">
        <v>40</v>
      </c>
      <c r="C321" s="2">
        <v>3.0599999999999959E-3</v>
      </c>
      <c r="D321">
        <v>2.5106000000000002</v>
      </c>
      <c r="E321" s="1">
        <v>0.35555555555555557</v>
      </c>
      <c r="F321" s="3">
        <v>46126</v>
      </c>
    </row>
    <row r="322" spans="1:6" x14ac:dyDescent="0.3">
      <c r="A322" t="s">
        <v>2</v>
      </c>
      <c r="B322">
        <v>40</v>
      </c>
      <c r="C322" s="2">
        <v>1.3349999999999972E-3</v>
      </c>
      <c r="D322">
        <v>3.4289000000000001</v>
      </c>
      <c r="E322" s="1">
        <v>0.35555555555555557</v>
      </c>
      <c r="F322" s="3">
        <v>46126</v>
      </c>
    </row>
    <row r="323" spans="1:6" x14ac:dyDescent="0.3">
      <c r="A323" t="s">
        <v>29</v>
      </c>
      <c r="B323">
        <v>40</v>
      </c>
      <c r="C323" s="2">
        <v>1.5500000000000069E-3</v>
      </c>
      <c r="D323">
        <v>2.0872999999999999</v>
      </c>
      <c r="E323" s="1">
        <v>0.35625000000000001</v>
      </c>
      <c r="F323" s="3">
        <v>46126</v>
      </c>
    </row>
    <row r="324" spans="1:6" x14ac:dyDescent="0.3">
      <c r="A324" t="s">
        <v>33</v>
      </c>
      <c r="B324">
        <v>60</v>
      </c>
      <c r="C324" s="2">
        <v>1.3149999999999995E-3</v>
      </c>
      <c r="D324">
        <v>2.3521000000000001</v>
      </c>
      <c r="E324" s="1">
        <v>0.36805555555555558</v>
      </c>
      <c r="F324" s="3">
        <v>46126</v>
      </c>
    </row>
    <row r="325" spans="1:6" x14ac:dyDescent="0.3">
      <c r="A325" t="s">
        <v>25</v>
      </c>
      <c r="B325">
        <v>60</v>
      </c>
      <c r="C325" s="2">
        <v>1.1249999999999982E-3</v>
      </c>
      <c r="D325">
        <v>2.7366000000000001</v>
      </c>
      <c r="E325" s="1">
        <v>0.36875000000000002</v>
      </c>
      <c r="F325" s="3">
        <v>46126</v>
      </c>
    </row>
    <row r="326" spans="1:6" x14ac:dyDescent="0.3">
      <c r="A326" t="s">
        <v>26</v>
      </c>
      <c r="B326">
        <v>60</v>
      </c>
      <c r="C326" s="2">
        <v>1.2449999999999851E-3</v>
      </c>
      <c r="D326">
        <v>2.4113000000000002</v>
      </c>
      <c r="E326" s="1">
        <v>0.36875000000000002</v>
      </c>
      <c r="F326" s="3">
        <v>46126</v>
      </c>
    </row>
    <row r="327" spans="1:6" x14ac:dyDescent="0.3">
      <c r="A327" t="s">
        <v>27</v>
      </c>
      <c r="B327">
        <v>60</v>
      </c>
      <c r="C327" s="2">
        <v>9.9500000000001258E-4</v>
      </c>
      <c r="D327">
        <v>3.1278999999999999</v>
      </c>
      <c r="E327" s="1">
        <v>0.36944444444444446</v>
      </c>
      <c r="F327" s="3">
        <v>46126</v>
      </c>
    </row>
    <row r="328" spans="1:6" x14ac:dyDescent="0.3">
      <c r="A328" t="s">
        <v>28</v>
      </c>
      <c r="B328">
        <v>60</v>
      </c>
      <c r="C328" s="2">
        <v>2.9400000000000094E-3</v>
      </c>
      <c r="D328">
        <v>2.4518</v>
      </c>
      <c r="E328" s="1">
        <v>0.36944444444444446</v>
      </c>
      <c r="F328" s="3">
        <v>46126</v>
      </c>
    </row>
    <row r="329" spans="1:6" x14ac:dyDescent="0.3">
      <c r="A329" t="s">
        <v>2</v>
      </c>
      <c r="B329">
        <v>60</v>
      </c>
      <c r="C329" s="2">
        <v>1.3549999999999951E-3</v>
      </c>
      <c r="D329">
        <v>3.4018000000000002</v>
      </c>
      <c r="E329" s="1">
        <v>0.36944444444444446</v>
      </c>
      <c r="F329" s="3">
        <v>46126</v>
      </c>
    </row>
    <row r="330" spans="1:6" x14ac:dyDescent="0.3">
      <c r="A330" t="s">
        <v>29</v>
      </c>
      <c r="B330">
        <v>60</v>
      </c>
      <c r="C330" s="2">
        <v>1.8000000000000017E-3</v>
      </c>
      <c r="D330">
        <v>2.0512999999999999</v>
      </c>
      <c r="E330" s="1">
        <v>0.37013888888888891</v>
      </c>
      <c r="F330" s="3">
        <v>46126</v>
      </c>
    </row>
    <row r="331" spans="1:6" x14ac:dyDescent="0.3">
      <c r="A331" t="s">
        <v>33</v>
      </c>
      <c r="B331">
        <v>80</v>
      </c>
      <c r="C331" s="2">
        <v>1.2099999999999999E-3</v>
      </c>
      <c r="D331">
        <v>2.3279000000000001</v>
      </c>
      <c r="E331" s="1">
        <v>0.38194444444444448</v>
      </c>
      <c r="F331" s="3">
        <v>46126</v>
      </c>
    </row>
    <row r="332" spans="1:6" x14ac:dyDescent="0.3">
      <c r="A332" t="s">
        <v>25</v>
      </c>
      <c r="B332">
        <v>80</v>
      </c>
      <c r="C332" s="2">
        <v>1.0800000000000143E-3</v>
      </c>
      <c r="D332">
        <v>2.7149999999999999</v>
      </c>
      <c r="E332" s="1">
        <v>0.38263888888888892</v>
      </c>
      <c r="F332" s="3">
        <v>46126</v>
      </c>
    </row>
    <row r="333" spans="1:6" x14ac:dyDescent="0.3">
      <c r="A333" t="s">
        <v>26</v>
      </c>
      <c r="B333">
        <v>80</v>
      </c>
      <c r="C333" s="2">
        <v>1.1800000000000033E-3</v>
      </c>
      <c r="D333">
        <v>2.3877000000000002</v>
      </c>
      <c r="E333" s="1">
        <v>0.38263888888888892</v>
      </c>
      <c r="F333" s="3">
        <v>46126</v>
      </c>
    </row>
    <row r="334" spans="1:6" x14ac:dyDescent="0.3">
      <c r="A334" t="s">
        <v>27</v>
      </c>
      <c r="B334">
        <v>80</v>
      </c>
      <c r="C334" s="2">
        <v>1.3499999999999845E-3</v>
      </c>
      <c r="D334">
        <v>3.1009000000000002</v>
      </c>
      <c r="E334" s="1">
        <v>0.38333333333333336</v>
      </c>
      <c r="F334" s="3">
        <v>46126</v>
      </c>
    </row>
    <row r="335" spans="1:6" x14ac:dyDescent="0.3">
      <c r="A335" t="s">
        <v>28</v>
      </c>
      <c r="B335">
        <v>80</v>
      </c>
      <c r="C335" s="2">
        <v>1.2350000000000082E-3</v>
      </c>
      <c r="D335">
        <v>2.4270999999999998</v>
      </c>
      <c r="E335" s="1">
        <v>0.38333333333333336</v>
      </c>
      <c r="F335" s="3">
        <v>46126</v>
      </c>
    </row>
    <row r="336" spans="1:6" x14ac:dyDescent="0.3">
      <c r="A336" t="s">
        <v>2</v>
      </c>
      <c r="B336">
        <v>80</v>
      </c>
      <c r="C336" s="2">
        <v>2.3400000000000087E-3</v>
      </c>
      <c r="D336">
        <v>3.355</v>
      </c>
      <c r="E336" s="1">
        <v>0.38333333333333336</v>
      </c>
      <c r="F336" s="3">
        <v>46126</v>
      </c>
    </row>
    <row r="337" spans="1:6" x14ac:dyDescent="0.3">
      <c r="A337" t="s">
        <v>29</v>
      </c>
      <c r="B337">
        <v>80</v>
      </c>
      <c r="C337" s="2">
        <v>1.8249999999999877E-3</v>
      </c>
      <c r="D337">
        <v>2.0148000000000001</v>
      </c>
      <c r="E337" s="1">
        <v>0.3840277777777778</v>
      </c>
      <c r="F337" s="3">
        <v>46126</v>
      </c>
    </row>
    <row r="338" spans="1:6" x14ac:dyDescent="0.3">
      <c r="A338" t="s">
        <v>33</v>
      </c>
      <c r="B338">
        <v>100</v>
      </c>
      <c r="C338" s="2">
        <v>1.0050000000000115E-3</v>
      </c>
      <c r="D338">
        <v>2.3077999999999999</v>
      </c>
      <c r="E338" s="1">
        <v>0.39583333333333337</v>
      </c>
      <c r="F338" s="3">
        <v>46126</v>
      </c>
    </row>
    <row r="339" spans="1:6" x14ac:dyDescent="0.3">
      <c r="A339" t="s">
        <v>25</v>
      </c>
      <c r="B339">
        <v>100</v>
      </c>
      <c r="C339" s="2">
        <v>8.9500000000000137E-4</v>
      </c>
      <c r="D339">
        <v>2.6970999999999998</v>
      </c>
      <c r="E339" s="1">
        <v>0.39652777777777781</v>
      </c>
      <c r="F339" s="3">
        <v>46126</v>
      </c>
    </row>
    <row r="340" spans="1:6" x14ac:dyDescent="0.3">
      <c r="A340" t="s">
        <v>26</v>
      </c>
      <c r="B340">
        <v>100</v>
      </c>
      <c r="C340" s="2">
        <v>1.0950000000000016E-3</v>
      </c>
      <c r="D340">
        <v>2.3658000000000001</v>
      </c>
      <c r="E340" s="1">
        <v>0.39652777777777781</v>
      </c>
      <c r="F340" s="3">
        <v>46126</v>
      </c>
    </row>
    <row r="341" spans="1:6" x14ac:dyDescent="0.3">
      <c r="A341" t="s">
        <v>27</v>
      </c>
      <c r="B341">
        <v>100</v>
      </c>
      <c r="C341" s="2">
        <v>1.6600000000000169E-3</v>
      </c>
      <c r="D341">
        <v>3.0676999999999999</v>
      </c>
      <c r="E341" s="1">
        <v>0.39722222222222225</v>
      </c>
      <c r="F341" s="3">
        <v>46126</v>
      </c>
    </row>
    <row r="342" spans="1:6" x14ac:dyDescent="0.3">
      <c r="A342" t="s">
        <v>28</v>
      </c>
      <c r="B342">
        <v>100</v>
      </c>
      <c r="C342" s="2">
        <v>9.0999999999998862E-4</v>
      </c>
      <c r="D342">
        <v>2.4089</v>
      </c>
      <c r="E342" s="1">
        <v>0.39722222222222225</v>
      </c>
      <c r="F342" s="3">
        <v>46126</v>
      </c>
    </row>
    <row r="343" spans="1:6" x14ac:dyDescent="0.3">
      <c r="A343" t="s">
        <v>2</v>
      </c>
      <c r="B343">
        <v>100</v>
      </c>
      <c r="C343" s="2">
        <v>3.2249999999999892E-3</v>
      </c>
      <c r="D343">
        <v>3.2905000000000002</v>
      </c>
      <c r="E343" s="1">
        <v>0.39722222222222225</v>
      </c>
      <c r="F343" s="3">
        <v>46126</v>
      </c>
    </row>
    <row r="344" spans="1:6" x14ac:dyDescent="0.3">
      <c r="A344" t="s">
        <v>29</v>
      </c>
      <c r="B344">
        <v>100</v>
      </c>
      <c r="C344" s="2">
        <v>1.5300000000000092E-3</v>
      </c>
      <c r="D344">
        <v>1.9842</v>
      </c>
      <c r="E344" s="1">
        <v>0.3979166666666667</v>
      </c>
      <c r="F344" s="3">
        <v>46126</v>
      </c>
    </row>
    <row r="345" spans="1:6" x14ac:dyDescent="0.3">
      <c r="A345" t="s">
        <v>33</v>
      </c>
      <c r="B345">
        <v>120</v>
      </c>
      <c r="C345" s="2">
        <v>9.5999999999998311E-4</v>
      </c>
      <c r="D345">
        <v>2.2886000000000002</v>
      </c>
      <c r="E345" s="1">
        <v>0.40972222222222227</v>
      </c>
      <c r="F345" s="3">
        <v>46126</v>
      </c>
    </row>
    <row r="346" spans="1:6" x14ac:dyDescent="0.3">
      <c r="A346" t="s">
        <v>25</v>
      </c>
      <c r="B346">
        <v>120</v>
      </c>
      <c r="C346" s="2">
        <v>9.5999999999998311E-4</v>
      </c>
      <c r="D346">
        <v>2.6779000000000002</v>
      </c>
      <c r="E346" s="1">
        <v>0.41041666666666671</v>
      </c>
      <c r="F346" s="3">
        <v>46126</v>
      </c>
    </row>
    <row r="347" spans="1:6" x14ac:dyDescent="0.3">
      <c r="A347" t="s">
        <v>26</v>
      </c>
      <c r="B347">
        <v>120</v>
      </c>
      <c r="C347" s="2">
        <v>1.0600000000000164E-3</v>
      </c>
      <c r="D347">
        <v>2.3445999999999998</v>
      </c>
      <c r="E347" s="1">
        <v>0.41041666666666671</v>
      </c>
      <c r="F347" s="3">
        <v>46126</v>
      </c>
    </row>
    <row r="348" spans="1:6" x14ac:dyDescent="0.3">
      <c r="A348" t="s">
        <v>27</v>
      </c>
      <c r="B348">
        <v>120</v>
      </c>
      <c r="C348" s="2">
        <v>1.5900000000000024E-3</v>
      </c>
      <c r="D348">
        <v>3.0358999999999998</v>
      </c>
      <c r="E348" s="1">
        <v>0.41111111111111115</v>
      </c>
      <c r="F348" s="3">
        <v>46126</v>
      </c>
    </row>
    <row r="349" spans="1:6" x14ac:dyDescent="0.3">
      <c r="A349" t="s">
        <v>28</v>
      </c>
      <c r="B349">
        <v>120</v>
      </c>
      <c r="C349" s="2">
        <v>7.4000000000000736E-4</v>
      </c>
      <c r="D349">
        <v>2.3940999999999999</v>
      </c>
      <c r="E349" s="1">
        <v>0.41111111111111115</v>
      </c>
      <c r="F349" s="3">
        <v>46126</v>
      </c>
    </row>
    <row r="350" spans="1:6" x14ac:dyDescent="0.3">
      <c r="A350" t="s">
        <v>2</v>
      </c>
      <c r="B350">
        <v>120</v>
      </c>
      <c r="C350" s="2">
        <v>1.0700000000000154E-3</v>
      </c>
      <c r="D350">
        <v>3.2690999999999999</v>
      </c>
      <c r="E350" s="1">
        <v>0.41111111111111115</v>
      </c>
      <c r="F350" s="3">
        <v>46126</v>
      </c>
    </row>
    <row r="351" spans="1:6" x14ac:dyDescent="0.3">
      <c r="A351" t="s">
        <v>29</v>
      </c>
      <c r="B351">
        <v>120</v>
      </c>
      <c r="C351" s="2">
        <v>1.3950000000000017E-3</v>
      </c>
      <c r="D351">
        <v>1.9562999999999999</v>
      </c>
      <c r="E351" s="1">
        <v>0.41180555555555559</v>
      </c>
      <c r="F351" s="3">
        <v>46126</v>
      </c>
    </row>
    <row r="352" spans="1:6" x14ac:dyDescent="0.3">
      <c r="A352" t="s">
        <v>33</v>
      </c>
      <c r="B352">
        <v>140</v>
      </c>
      <c r="C352" s="2">
        <v>9.5000000000000639E-4</v>
      </c>
      <c r="D352">
        <v>2.2696000000000001</v>
      </c>
      <c r="E352" s="1">
        <v>0.42361111111111116</v>
      </c>
      <c r="F352" s="3">
        <v>46126</v>
      </c>
    </row>
    <row r="353" spans="1:6" x14ac:dyDescent="0.3">
      <c r="A353" t="s">
        <v>25</v>
      </c>
      <c r="B353">
        <v>140</v>
      </c>
      <c r="C353" s="2">
        <v>1.0450000000000071E-3</v>
      </c>
      <c r="D353">
        <v>2.657</v>
      </c>
      <c r="E353" s="1">
        <v>0.4243055555555556</v>
      </c>
      <c r="F353" s="3">
        <v>46126</v>
      </c>
    </row>
    <row r="354" spans="1:6" x14ac:dyDescent="0.3">
      <c r="A354" t="s">
        <v>26</v>
      </c>
      <c r="B354">
        <v>140</v>
      </c>
      <c r="C354" s="2">
        <v>1.154999999999995E-3</v>
      </c>
      <c r="D354">
        <v>2.3214999999999999</v>
      </c>
      <c r="E354" s="1">
        <v>0.4243055555555556</v>
      </c>
      <c r="F354" s="3">
        <v>46126</v>
      </c>
    </row>
    <row r="355" spans="1:6" x14ac:dyDescent="0.3">
      <c r="A355" t="s">
        <v>27</v>
      </c>
      <c r="B355">
        <v>140</v>
      </c>
      <c r="C355" s="2">
        <v>1.3399999999999857E-3</v>
      </c>
      <c r="D355">
        <v>3.0091000000000001</v>
      </c>
      <c r="E355" s="1">
        <v>0.42500000000000004</v>
      </c>
      <c r="F355" s="3">
        <v>46126</v>
      </c>
    </row>
    <row r="356" spans="1:6" x14ac:dyDescent="0.3">
      <c r="A356" t="s">
        <v>28</v>
      </c>
      <c r="B356">
        <v>140</v>
      </c>
      <c r="C356" s="2">
        <v>9.0500000000000021E-4</v>
      </c>
      <c r="D356">
        <v>2.3759999999999999</v>
      </c>
      <c r="E356" s="1">
        <v>0.42500000000000004</v>
      </c>
      <c r="F356" s="3">
        <v>46126</v>
      </c>
    </row>
    <row r="357" spans="1:6" x14ac:dyDescent="0.3">
      <c r="A357" t="s">
        <v>2</v>
      </c>
      <c r="B357">
        <v>140</v>
      </c>
      <c r="C357" s="2">
        <v>1.154999999999995E-3</v>
      </c>
      <c r="D357">
        <v>3.246</v>
      </c>
      <c r="E357" s="1">
        <v>0.42500000000000004</v>
      </c>
      <c r="F357" s="3">
        <v>46126</v>
      </c>
    </row>
    <row r="358" spans="1:6" x14ac:dyDescent="0.3">
      <c r="A358" t="s">
        <v>29</v>
      </c>
      <c r="B358">
        <v>140</v>
      </c>
      <c r="C358" s="2">
        <v>1.5549999999999952E-3</v>
      </c>
      <c r="D358">
        <v>1.9252</v>
      </c>
      <c r="E358" s="1">
        <v>0.42569444444444449</v>
      </c>
      <c r="F358" s="3">
        <v>46126</v>
      </c>
    </row>
    <row r="359" spans="1:6" x14ac:dyDescent="0.3">
      <c r="A359" t="s">
        <v>33</v>
      </c>
      <c r="B359">
        <v>160</v>
      </c>
      <c r="C359" s="2">
        <v>9.549999999999947E-4</v>
      </c>
      <c r="D359">
        <v>2.2505000000000002</v>
      </c>
      <c r="E359" s="1">
        <v>0.43750000000000006</v>
      </c>
      <c r="F359" s="3">
        <v>46126</v>
      </c>
    </row>
    <row r="360" spans="1:6" x14ac:dyDescent="0.3">
      <c r="A360" t="s">
        <v>25</v>
      </c>
      <c r="B360">
        <v>160</v>
      </c>
      <c r="C360" s="2">
        <v>1.0350000000000081E-3</v>
      </c>
      <c r="D360">
        <v>2.6362999999999999</v>
      </c>
      <c r="E360" s="1">
        <v>0.4381944444444445</v>
      </c>
      <c r="F360" s="3">
        <v>46126</v>
      </c>
    </row>
    <row r="361" spans="1:6" x14ac:dyDescent="0.3">
      <c r="A361" t="s">
        <v>26</v>
      </c>
      <c r="B361">
        <v>160</v>
      </c>
      <c r="C361" s="2">
        <v>1.079999999999992E-3</v>
      </c>
      <c r="D361">
        <v>2.2999000000000001</v>
      </c>
      <c r="E361" s="1">
        <v>0.4381944444444445</v>
      </c>
      <c r="F361" s="3">
        <v>46126</v>
      </c>
    </row>
    <row r="362" spans="1:6" x14ac:dyDescent="0.3">
      <c r="A362" t="s">
        <v>27</v>
      </c>
      <c r="B362">
        <v>160</v>
      </c>
      <c r="C362" s="2">
        <v>9.6500000000001587E-4</v>
      </c>
      <c r="D362">
        <v>2.9897999999999998</v>
      </c>
      <c r="E362" s="1">
        <v>0.43888888888888894</v>
      </c>
      <c r="F362" s="3">
        <v>46126</v>
      </c>
    </row>
    <row r="363" spans="1:6" x14ac:dyDescent="0.3">
      <c r="A363" t="s">
        <v>28</v>
      </c>
      <c r="B363">
        <v>160</v>
      </c>
      <c r="C363" s="2">
        <v>7.9499999999999016E-4</v>
      </c>
      <c r="D363">
        <v>2.3601000000000001</v>
      </c>
      <c r="E363" s="1">
        <v>0.43888888888888894</v>
      </c>
      <c r="F363" s="3">
        <v>46126</v>
      </c>
    </row>
    <row r="364" spans="1:6" x14ac:dyDescent="0.3">
      <c r="A364" t="s">
        <v>2</v>
      </c>
      <c r="B364">
        <v>160</v>
      </c>
      <c r="C364" s="2">
        <v>1.0150000000000103E-3</v>
      </c>
      <c r="D364">
        <v>3.2256999999999998</v>
      </c>
      <c r="E364" s="1">
        <v>0.43888888888888894</v>
      </c>
      <c r="F364" s="3">
        <v>46126</v>
      </c>
    </row>
    <row r="365" spans="1:6" x14ac:dyDescent="0.3">
      <c r="A365" t="s">
        <v>29</v>
      </c>
      <c r="B365">
        <v>160</v>
      </c>
      <c r="C365" s="2">
        <v>1.4449999999999962E-3</v>
      </c>
      <c r="D365">
        <v>1.8963000000000001</v>
      </c>
      <c r="E365" s="1">
        <v>0.43958333333333338</v>
      </c>
      <c r="F365" s="3">
        <v>46126</v>
      </c>
    </row>
    <row r="366" spans="1:6" x14ac:dyDescent="0.3">
      <c r="A366" t="s">
        <v>33</v>
      </c>
      <c r="B366">
        <v>180</v>
      </c>
      <c r="C366" s="2">
        <v>9.2000000000000968E-4</v>
      </c>
      <c r="D366">
        <v>2.2321</v>
      </c>
      <c r="E366" s="1">
        <v>0.45138888888888895</v>
      </c>
      <c r="F366" s="3">
        <v>46126</v>
      </c>
    </row>
    <row r="367" spans="1:6" x14ac:dyDescent="0.3">
      <c r="A367" t="s">
        <v>25</v>
      </c>
      <c r="B367">
        <v>180</v>
      </c>
      <c r="C367" s="2">
        <v>9.9000000000000195E-4</v>
      </c>
      <c r="D367">
        <v>2.6164999999999998</v>
      </c>
      <c r="E367" s="1">
        <v>0.45208333333333339</v>
      </c>
      <c r="F367" s="3">
        <v>46126</v>
      </c>
    </row>
    <row r="368" spans="1:6" x14ac:dyDescent="0.3">
      <c r="A368" t="s">
        <v>26</v>
      </c>
      <c r="B368">
        <v>180</v>
      </c>
      <c r="C368" s="2">
        <v>1.0399999999999964E-3</v>
      </c>
      <c r="D368">
        <v>2.2791000000000001</v>
      </c>
      <c r="E368" s="1">
        <v>0.45208333333333339</v>
      </c>
      <c r="F368" s="3">
        <v>46126</v>
      </c>
    </row>
    <row r="369" spans="1:6" x14ac:dyDescent="0.3">
      <c r="A369" t="s">
        <v>27</v>
      </c>
      <c r="B369">
        <v>180</v>
      </c>
      <c r="C369" s="2">
        <v>8.849999999999802E-4</v>
      </c>
      <c r="D369">
        <v>2.9721000000000002</v>
      </c>
      <c r="E369" s="1">
        <v>0.45277777777777783</v>
      </c>
      <c r="F369" s="3">
        <v>46126</v>
      </c>
    </row>
    <row r="370" spans="1:6" x14ac:dyDescent="0.3">
      <c r="A370" t="s">
        <v>28</v>
      </c>
      <c r="B370">
        <v>180</v>
      </c>
      <c r="C370" s="2">
        <v>8.3500000000000794E-4</v>
      </c>
      <c r="D370">
        <v>2.3433999999999999</v>
      </c>
      <c r="E370" s="1">
        <v>0.45277777777777783</v>
      </c>
      <c r="F370" s="3">
        <v>46126</v>
      </c>
    </row>
    <row r="371" spans="1:6" x14ac:dyDescent="0.3">
      <c r="A371" t="s">
        <v>2</v>
      </c>
      <c r="B371">
        <v>180</v>
      </c>
      <c r="C371" s="2">
        <v>1.0649999999999826E-3</v>
      </c>
      <c r="D371">
        <v>3.2044000000000001</v>
      </c>
      <c r="E371" s="1">
        <v>0.45277777777777783</v>
      </c>
      <c r="F371" s="3">
        <v>46126</v>
      </c>
    </row>
    <row r="372" spans="1:6" x14ac:dyDescent="0.3">
      <c r="A372" t="s">
        <v>29</v>
      </c>
      <c r="B372">
        <v>180</v>
      </c>
      <c r="C372" s="2">
        <v>1.4149999999999996E-3</v>
      </c>
      <c r="D372">
        <v>1.8680000000000001</v>
      </c>
      <c r="E372" s="1">
        <v>0.45347222222222228</v>
      </c>
      <c r="F372" s="3">
        <v>46126</v>
      </c>
    </row>
    <row r="373" spans="1:6" x14ac:dyDescent="0.3">
      <c r="A373" t="s">
        <v>33</v>
      </c>
      <c r="B373">
        <v>200</v>
      </c>
      <c r="C373" s="2">
        <v>9.3000000000000862E-4</v>
      </c>
      <c r="D373">
        <v>2.2134999999999998</v>
      </c>
      <c r="E373" s="1">
        <v>0.46527777777777785</v>
      </c>
      <c r="F373" s="3">
        <v>46126</v>
      </c>
    </row>
    <row r="374" spans="1:6" x14ac:dyDescent="0.3">
      <c r="A374" t="s">
        <v>25</v>
      </c>
      <c r="B374">
        <v>200</v>
      </c>
      <c r="C374" s="2">
        <v>9.9499999999999025E-4</v>
      </c>
      <c r="D374">
        <v>2.5966</v>
      </c>
      <c r="E374" s="1">
        <v>0.46597222222222229</v>
      </c>
      <c r="F374" s="3">
        <v>46126</v>
      </c>
    </row>
    <row r="375" spans="1:6" x14ac:dyDescent="0.3">
      <c r="A375" t="s">
        <v>26</v>
      </c>
      <c r="B375">
        <v>200</v>
      </c>
      <c r="C375" s="2">
        <v>1.1449999999999961E-3</v>
      </c>
      <c r="D375">
        <v>2.2562000000000002</v>
      </c>
      <c r="E375" s="1">
        <v>0.46597222222222229</v>
      </c>
      <c r="F375" s="3">
        <v>46126</v>
      </c>
    </row>
    <row r="376" spans="1:6" x14ac:dyDescent="0.3">
      <c r="A376" t="s">
        <v>27</v>
      </c>
      <c r="B376">
        <v>200</v>
      </c>
      <c r="C376" s="2">
        <v>9.4500000000001809E-4</v>
      </c>
      <c r="D376">
        <v>2.9531999999999998</v>
      </c>
      <c r="E376" s="1">
        <v>0.46666666666666673</v>
      </c>
      <c r="F376" s="3">
        <v>46126</v>
      </c>
    </row>
    <row r="377" spans="1:6" x14ac:dyDescent="0.3">
      <c r="A377" t="s">
        <v>28</v>
      </c>
      <c r="B377">
        <v>200</v>
      </c>
      <c r="C377" s="2">
        <v>8.8999999999999084E-4</v>
      </c>
      <c r="D377">
        <v>2.3256000000000001</v>
      </c>
      <c r="E377" s="1">
        <v>0.46666666666666673</v>
      </c>
      <c r="F377" s="3">
        <v>46126</v>
      </c>
    </row>
    <row r="378" spans="1:6" x14ac:dyDescent="0.3">
      <c r="A378" t="s">
        <v>2</v>
      </c>
      <c r="B378">
        <v>200</v>
      </c>
      <c r="C378" s="2">
        <v>1.1050000000000005E-3</v>
      </c>
      <c r="D378">
        <v>3.1823000000000001</v>
      </c>
      <c r="E378" s="1">
        <v>0.46666666666666673</v>
      </c>
      <c r="F378" s="3">
        <v>46126</v>
      </c>
    </row>
    <row r="379" spans="1:6" x14ac:dyDescent="0.3">
      <c r="A379" t="s">
        <v>29</v>
      </c>
      <c r="B379">
        <v>200</v>
      </c>
      <c r="C379" s="2">
        <v>1.5500000000000069E-3</v>
      </c>
      <c r="D379">
        <v>1.837</v>
      </c>
      <c r="E379" s="1">
        <v>0.46736111111111117</v>
      </c>
      <c r="F379" s="3">
        <v>46126</v>
      </c>
    </row>
    <row r="380" spans="1:6" x14ac:dyDescent="0.3">
      <c r="A380" t="s">
        <v>33</v>
      </c>
      <c r="B380">
        <v>220</v>
      </c>
      <c r="C380" s="2">
        <v>9.4999999999998417E-4</v>
      </c>
      <c r="D380">
        <v>2.1945000000000001</v>
      </c>
      <c r="E380" s="1">
        <v>0.47916666666666674</v>
      </c>
      <c r="F380" s="3">
        <v>46126</v>
      </c>
    </row>
    <row r="381" spans="1:6" x14ac:dyDescent="0.3">
      <c r="A381" t="s">
        <v>25</v>
      </c>
      <c r="B381">
        <v>220</v>
      </c>
      <c r="C381" s="2">
        <v>9.4000000000000745E-4</v>
      </c>
      <c r="D381">
        <v>2.5777999999999999</v>
      </c>
      <c r="E381" s="1">
        <v>0.47986111111111118</v>
      </c>
      <c r="F381" s="3">
        <v>46126</v>
      </c>
    </row>
    <row r="382" spans="1:6" x14ac:dyDescent="0.3">
      <c r="A382" t="s">
        <v>26</v>
      </c>
      <c r="B382">
        <v>220</v>
      </c>
      <c r="C382" s="2">
        <v>9.1000000000001084E-4</v>
      </c>
      <c r="D382">
        <v>2.238</v>
      </c>
      <c r="E382" s="1">
        <v>0.47986111111111118</v>
      </c>
      <c r="F382" s="3">
        <v>46126</v>
      </c>
    </row>
    <row r="383" spans="1:6" x14ac:dyDescent="0.3">
      <c r="A383" t="s">
        <v>27</v>
      </c>
      <c r="B383">
        <v>220</v>
      </c>
      <c r="C383" s="2">
        <v>7.5499999999999461E-4</v>
      </c>
      <c r="D383">
        <v>2.9380999999999999</v>
      </c>
      <c r="E383" s="1">
        <v>0.48055555555555562</v>
      </c>
      <c r="F383" s="3">
        <v>46126</v>
      </c>
    </row>
    <row r="384" spans="1:6" x14ac:dyDescent="0.3">
      <c r="A384" t="s">
        <v>28</v>
      </c>
      <c r="B384">
        <v>220</v>
      </c>
      <c r="C384" s="2">
        <v>6.1999999999999837E-4</v>
      </c>
      <c r="D384">
        <v>2.3132000000000001</v>
      </c>
      <c r="E384" s="1">
        <v>0.48055555555555562</v>
      </c>
      <c r="F384" s="3">
        <v>46126</v>
      </c>
    </row>
    <row r="385" spans="1:6" x14ac:dyDescent="0.3">
      <c r="A385" t="s">
        <v>2</v>
      </c>
      <c r="B385">
        <v>220</v>
      </c>
      <c r="C385" s="2">
        <v>8.6500000000000465E-4</v>
      </c>
      <c r="D385">
        <v>3.165</v>
      </c>
      <c r="E385" s="1">
        <v>0.48055555555555562</v>
      </c>
      <c r="F385" s="3">
        <v>46126</v>
      </c>
    </row>
    <row r="386" spans="1:6" x14ac:dyDescent="0.3">
      <c r="A386" t="s">
        <v>29</v>
      </c>
      <c r="B386">
        <v>220</v>
      </c>
      <c r="C386" s="2">
        <v>1.1249999999999982E-3</v>
      </c>
      <c r="D386">
        <v>1.8145</v>
      </c>
      <c r="E386" s="1">
        <v>0.48125000000000007</v>
      </c>
      <c r="F386" s="3">
        <v>46126</v>
      </c>
    </row>
    <row r="387" spans="1:6" x14ac:dyDescent="0.3">
      <c r="A387" t="s">
        <v>33</v>
      </c>
      <c r="B387">
        <v>240</v>
      </c>
      <c r="C387" s="2">
        <v>8.8000000000001413E-4</v>
      </c>
      <c r="D387">
        <v>2.1768999999999998</v>
      </c>
      <c r="E387" s="1">
        <v>0.49305555555555564</v>
      </c>
      <c r="F387" s="3">
        <v>46126</v>
      </c>
    </row>
    <row r="388" spans="1:6" x14ac:dyDescent="0.3">
      <c r="A388" t="s">
        <v>25</v>
      </c>
      <c r="B388">
        <v>240</v>
      </c>
      <c r="C388" s="2">
        <v>9.3999999999998534E-4</v>
      </c>
      <c r="D388">
        <v>2.5590000000000002</v>
      </c>
      <c r="E388" s="1">
        <v>0.49375000000000008</v>
      </c>
      <c r="F388" s="3">
        <v>46126</v>
      </c>
    </row>
    <row r="389" spans="1:6" x14ac:dyDescent="0.3">
      <c r="A389" t="s">
        <v>26</v>
      </c>
      <c r="B389">
        <v>240</v>
      </c>
      <c r="C389" s="2">
        <v>9.7499999999999258E-4</v>
      </c>
      <c r="D389">
        <v>2.2185000000000001</v>
      </c>
      <c r="E389" s="1">
        <v>0.49375000000000008</v>
      </c>
      <c r="F389" s="3">
        <v>46126</v>
      </c>
    </row>
    <row r="390" spans="1:6" x14ac:dyDescent="0.3">
      <c r="A390" t="s">
        <v>27</v>
      </c>
      <c r="B390">
        <v>240</v>
      </c>
      <c r="C390" s="2">
        <v>1.0750000000000037E-3</v>
      </c>
      <c r="D390">
        <v>2.9165999999999999</v>
      </c>
      <c r="E390" s="1">
        <v>0.49444444444444452</v>
      </c>
      <c r="F390" s="3">
        <v>46126</v>
      </c>
    </row>
    <row r="391" spans="1:6" x14ac:dyDescent="0.3">
      <c r="A391" t="s">
        <v>28</v>
      </c>
      <c r="B391">
        <v>240</v>
      </c>
      <c r="C391" s="2">
        <v>8.2999999999999741E-4</v>
      </c>
      <c r="D391">
        <v>2.2966000000000002</v>
      </c>
      <c r="E391" s="1">
        <v>0.49444444444444452</v>
      </c>
      <c r="F391" s="3">
        <v>46126</v>
      </c>
    </row>
    <row r="392" spans="1:6" x14ac:dyDescent="0.3">
      <c r="A392" t="s">
        <v>2</v>
      </c>
      <c r="B392">
        <v>240</v>
      </c>
      <c r="C392" s="2">
        <v>1.0250000000000092E-3</v>
      </c>
      <c r="D392">
        <v>3.1444999999999999</v>
      </c>
      <c r="E392" s="1">
        <v>0.49444444444444452</v>
      </c>
      <c r="F392" s="3">
        <v>46126</v>
      </c>
    </row>
    <row r="393" spans="1:6" x14ac:dyDescent="0.3">
      <c r="A393" t="s">
        <v>29</v>
      </c>
      <c r="B393">
        <v>240</v>
      </c>
      <c r="C393" s="2">
        <v>1.385000000000003E-3</v>
      </c>
      <c r="D393">
        <v>1.7867999999999999</v>
      </c>
      <c r="E393" s="1">
        <v>0.49513888888888896</v>
      </c>
      <c r="F393" s="3">
        <v>46126</v>
      </c>
    </row>
    <row r="394" spans="1:6" x14ac:dyDescent="0.3">
      <c r="A394" t="s">
        <v>59</v>
      </c>
      <c r="B394">
        <v>0</v>
      </c>
      <c r="C394">
        <v>0</v>
      </c>
      <c r="D394">
        <v>2.9005999999999998</v>
      </c>
      <c r="E394" s="1">
        <f>E387+(15/1440)</f>
        <v>0.50347222222222232</v>
      </c>
      <c r="F394" s="3">
        <v>46132</v>
      </c>
    </row>
    <row r="395" spans="1:6" x14ac:dyDescent="0.3">
      <c r="A395" t="s">
        <v>60</v>
      </c>
      <c r="B395">
        <v>0</v>
      </c>
      <c r="C395">
        <v>0</v>
      </c>
      <c r="D395">
        <v>1.6086</v>
      </c>
      <c r="E395" s="1">
        <f t="shared" ref="E395:E399" si="8">E388+(15/1440)</f>
        <v>0.50416666666666676</v>
      </c>
      <c r="F395" s="3">
        <v>46132</v>
      </c>
    </row>
    <row r="396" spans="1:6" x14ac:dyDescent="0.3">
      <c r="A396" t="s">
        <v>61</v>
      </c>
      <c r="B396">
        <v>0</v>
      </c>
      <c r="C396">
        <v>0</v>
      </c>
      <c r="D396">
        <v>2.0996000000000001</v>
      </c>
      <c r="E396" s="1">
        <f t="shared" si="8"/>
        <v>0.50416666666666676</v>
      </c>
      <c r="F396" s="3">
        <v>46132</v>
      </c>
    </row>
    <row r="397" spans="1:6" x14ac:dyDescent="0.3">
      <c r="A397" t="s">
        <v>62</v>
      </c>
      <c r="B397">
        <v>0</v>
      </c>
      <c r="C397">
        <v>0</v>
      </c>
      <c r="D397">
        <v>1.9391</v>
      </c>
      <c r="E397" s="1">
        <f t="shared" si="8"/>
        <v>0.5048611111111112</v>
      </c>
      <c r="F397" s="3">
        <v>46132</v>
      </c>
    </row>
    <row r="398" spans="1:6" x14ac:dyDescent="0.3">
      <c r="A398" t="s">
        <v>63</v>
      </c>
      <c r="B398">
        <v>0</v>
      </c>
      <c r="C398">
        <v>0</v>
      </c>
      <c r="D398">
        <v>0.87639999999999996</v>
      </c>
      <c r="E398" s="1">
        <f t="shared" si="8"/>
        <v>0.5048611111111112</v>
      </c>
      <c r="F398" s="3">
        <v>46132</v>
      </c>
    </row>
    <row r="399" spans="1:6" x14ac:dyDescent="0.3">
      <c r="A399" t="s">
        <v>64</v>
      </c>
      <c r="B399">
        <v>0</v>
      </c>
      <c r="C399">
        <v>0</v>
      </c>
      <c r="D399">
        <v>3.7204000000000002</v>
      </c>
      <c r="E399" s="1">
        <f t="shared" si="8"/>
        <v>0.5048611111111112</v>
      </c>
      <c r="F399" s="3">
        <v>46132</v>
      </c>
    </row>
    <row r="400" spans="1:6" x14ac:dyDescent="0.3">
      <c r="A400" t="s">
        <v>65</v>
      </c>
      <c r="B400">
        <v>0</v>
      </c>
      <c r="C400">
        <v>0</v>
      </c>
      <c r="D400">
        <v>1.696</v>
      </c>
      <c r="E400" s="1">
        <f>E393+(15/1440)</f>
        <v>0.50555555555555565</v>
      </c>
      <c r="F400" s="3">
        <v>46132</v>
      </c>
    </row>
    <row r="401" spans="1:6" x14ac:dyDescent="0.3">
      <c r="A401" t="s">
        <v>59</v>
      </c>
      <c r="B401">
        <v>20</v>
      </c>
      <c r="C401" s="2">
        <f>(D394-D401)/20</f>
        <v>2.1050000000000014E-3</v>
      </c>
      <c r="D401">
        <v>2.8584999999999998</v>
      </c>
      <c r="E401" s="1">
        <f t="shared" ref="E401:E464" si="9">E394+(20/1440)</f>
        <v>0.51736111111111116</v>
      </c>
      <c r="F401" s="3">
        <v>46132</v>
      </c>
    </row>
    <row r="402" spans="1:6" x14ac:dyDescent="0.3">
      <c r="A402" t="s">
        <v>60</v>
      </c>
      <c r="B402">
        <v>20</v>
      </c>
      <c r="C402" s="2">
        <f t="shared" ref="C402:C465" si="10">(D395-D402)/20</f>
        <v>1.200000000000001E-3</v>
      </c>
      <c r="D402">
        <v>1.5846</v>
      </c>
      <c r="E402" s="1">
        <f t="shared" si="9"/>
        <v>0.5180555555555556</v>
      </c>
      <c r="F402" s="3">
        <v>46132</v>
      </c>
    </row>
    <row r="403" spans="1:6" x14ac:dyDescent="0.3">
      <c r="A403" t="s">
        <v>61</v>
      </c>
      <c r="B403">
        <v>20</v>
      </c>
      <c r="C403" s="2">
        <f t="shared" si="10"/>
        <v>1.100000000000012E-3</v>
      </c>
      <c r="D403">
        <v>2.0775999999999999</v>
      </c>
      <c r="E403" s="1">
        <f t="shared" si="9"/>
        <v>0.5180555555555556</v>
      </c>
      <c r="F403" s="3">
        <v>46132</v>
      </c>
    </row>
    <row r="404" spans="1:6" x14ac:dyDescent="0.3">
      <c r="A404" t="s">
        <v>62</v>
      </c>
      <c r="B404">
        <v>20</v>
      </c>
      <c r="C404" s="2">
        <f t="shared" si="10"/>
        <v>9.0500000000000021E-4</v>
      </c>
      <c r="D404">
        <v>1.921</v>
      </c>
      <c r="E404" s="1">
        <f t="shared" si="9"/>
        <v>0.51875000000000004</v>
      </c>
      <c r="F404" s="3">
        <v>46132</v>
      </c>
    </row>
    <row r="405" spans="1:6" x14ac:dyDescent="0.3">
      <c r="A405" t="s">
        <v>63</v>
      </c>
      <c r="B405">
        <v>20</v>
      </c>
      <c r="C405" s="2">
        <f t="shared" si="10"/>
        <v>4.7499999999999767E-4</v>
      </c>
      <c r="D405">
        <v>0.8669</v>
      </c>
      <c r="E405" s="1">
        <f t="shared" si="9"/>
        <v>0.51875000000000004</v>
      </c>
      <c r="F405" s="3">
        <v>46132</v>
      </c>
    </row>
    <row r="406" spans="1:6" x14ac:dyDescent="0.3">
      <c r="A406" t="s">
        <v>64</v>
      </c>
      <c r="B406">
        <v>20</v>
      </c>
      <c r="C406" s="2">
        <f t="shared" si="10"/>
        <v>1.0350000000000081E-3</v>
      </c>
      <c r="D406">
        <v>3.6997</v>
      </c>
      <c r="E406" s="1">
        <f t="shared" si="9"/>
        <v>0.51875000000000004</v>
      </c>
      <c r="F406" s="3">
        <v>46132</v>
      </c>
    </row>
    <row r="407" spans="1:6" x14ac:dyDescent="0.3">
      <c r="A407" t="s">
        <v>65</v>
      </c>
      <c r="B407">
        <v>20</v>
      </c>
      <c r="C407" s="2">
        <f t="shared" si="10"/>
        <v>1.1749999999999927E-3</v>
      </c>
      <c r="D407">
        <v>1.6725000000000001</v>
      </c>
      <c r="E407" s="1">
        <f t="shared" si="9"/>
        <v>0.51944444444444449</v>
      </c>
      <c r="F407" s="3">
        <v>46132</v>
      </c>
    </row>
    <row r="408" spans="1:6" x14ac:dyDescent="0.3">
      <c r="A408" t="s">
        <v>59</v>
      </c>
      <c r="B408">
        <v>40</v>
      </c>
      <c r="C408" s="2">
        <f t="shared" si="10"/>
        <v>1.9099999999999894E-3</v>
      </c>
      <c r="D408">
        <v>2.8203</v>
      </c>
      <c r="E408" s="1">
        <f t="shared" si="9"/>
        <v>0.53125</v>
      </c>
      <c r="F408" s="3">
        <v>46132</v>
      </c>
    </row>
    <row r="409" spans="1:6" x14ac:dyDescent="0.3">
      <c r="A409" t="s">
        <v>60</v>
      </c>
      <c r="B409">
        <v>40</v>
      </c>
      <c r="C409" s="2">
        <f t="shared" si="10"/>
        <v>1.1900000000000023E-3</v>
      </c>
      <c r="D409">
        <v>1.5608</v>
      </c>
      <c r="E409" s="1">
        <f t="shared" si="9"/>
        <v>0.53194444444444444</v>
      </c>
      <c r="F409" s="3">
        <v>46132</v>
      </c>
    </row>
    <row r="410" spans="1:6" x14ac:dyDescent="0.3">
      <c r="A410" t="s">
        <v>61</v>
      </c>
      <c r="B410">
        <v>40</v>
      </c>
      <c r="C410" s="2">
        <f t="shared" si="10"/>
        <v>1.0449999999999847E-3</v>
      </c>
      <c r="D410">
        <v>2.0567000000000002</v>
      </c>
      <c r="E410" s="1">
        <f t="shared" si="9"/>
        <v>0.53194444444444444</v>
      </c>
      <c r="F410" s="3">
        <v>46132</v>
      </c>
    </row>
    <row r="411" spans="1:6" x14ac:dyDescent="0.3">
      <c r="A411" t="s">
        <v>62</v>
      </c>
      <c r="B411">
        <v>40</v>
      </c>
      <c r="C411" s="2">
        <f t="shared" si="10"/>
        <v>9.7000000000000417E-4</v>
      </c>
      <c r="D411">
        <v>1.9016</v>
      </c>
      <c r="E411" s="1">
        <f t="shared" si="9"/>
        <v>0.53263888888888888</v>
      </c>
      <c r="F411" s="3">
        <v>46132</v>
      </c>
    </row>
    <row r="412" spans="1:6" x14ac:dyDescent="0.3">
      <c r="A412" t="s">
        <v>63</v>
      </c>
      <c r="B412">
        <v>40</v>
      </c>
      <c r="C412" s="2">
        <f t="shared" si="10"/>
        <v>4.8500000000000209E-4</v>
      </c>
      <c r="D412">
        <v>0.85719999999999996</v>
      </c>
      <c r="E412" s="1">
        <f t="shared" si="9"/>
        <v>0.53263888888888888</v>
      </c>
      <c r="F412" s="3">
        <v>46132</v>
      </c>
    </row>
    <row r="413" spans="1:6" x14ac:dyDescent="0.3">
      <c r="A413" t="s">
        <v>64</v>
      </c>
      <c r="B413">
        <v>40</v>
      </c>
      <c r="C413" s="2">
        <f t="shared" si="10"/>
        <v>9.7000000000000417E-4</v>
      </c>
      <c r="D413">
        <v>3.6802999999999999</v>
      </c>
      <c r="E413" s="1">
        <f t="shared" si="9"/>
        <v>0.53263888888888888</v>
      </c>
      <c r="F413" s="3">
        <v>46132</v>
      </c>
    </row>
    <row r="414" spans="1:6" x14ac:dyDescent="0.3">
      <c r="A414" t="s">
        <v>65</v>
      </c>
      <c r="B414">
        <v>40</v>
      </c>
      <c r="C414" s="2">
        <f t="shared" si="10"/>
        <v>1.1500000000000065E-3</v>
      </c>
      <c r="D414">
        <v>1.6495</v>
      </c>
      <c r="E414" s="1">
        <f t="shared" si="9"/>
        <v>0.53333333333333333</v>
      </c>
      <c r="F414" s="3">
        <v>46132</v>
      </c>
    </row>
    <row r="415" spans="1:6" x14ac:dyDescent="0.3">
      <c r="A415" t="s">
        <v>59</v>
      </c>
      <c r="B415">
        <v>60</v>
      </c>
      <c r="C415" s="2">
        <f t="shared" si="10"/>
        <v>2.0050000000000124E-3</v>
      </c>
      <c r="D415">
        <v>2.7801999999999998</v>
      </c>
      <c r="E415" s="1">
        <f t="shared" si="9"/>
        <v>0.54513888888888884</v>
      </c>
      <c r="F415" s="3">
        <v>46132</v>
      </c>
    </row>
    <row r="416" spans="1:6" x14ac:dyDescent="0.3">
      <c r="A416" t="s">
        <v>60</v>
      </c>
      <c r="B416">
        <v>60</v>
      </c>
      <c r="C416" s="2">
        <f t="shared" si="10"/>
        <v>1.1349999999999971E-3</v>
      </c>
      <c r="D416">
        <v>1.5381</v>
      </c>
      <c r="E416" s="1">
        <f t="shared" si="9"/>
        <v>0.54583333333333328</v>
      </c>
      <c r="F416" s="3">
        <v>46132</v>
      </c>
    </row>
    <row r="417" spans="1:6" x14ac:dyDescent="0.3">
      <c r="A417" t="s">
        <v>61</v>
      </c>
      <c r="B417">
        <v>60</v>
      </c>
      <c r="C417" s="2">
        <f t="shared" si="10"/>
        <v>1.1800000000000033E-3</v>
      </c>
      <c r="D417">
        <v>2.0331000000000001</v>
      </c>
      <c r="E417" s="1">
        <f t="shared" si="9"/>
        <v>0.54583333333333328</v>
      </c>
      <c r="F417" s="3">
        <v>46132</v>
      </c>
    </row>
    <row r="418" spans="1:6" x14ac:dyDescent="0.3">
      <c r="A418" t="s">
        <v>62</v>
      </c>
      <c r="B418">
        <v>60</v>
      </c>
      <c r="C418" s="2">
        <f t="shared" si="10"/>
        <v>9.2999999999999745E-4</v>
      </c>
      <c r="D418">
        <v>1.883</v>
      </c>
      <c r="E418" s="1">
        <f t="shared" si="9"/>
        <v>0.54652777777777772</v>
      </c>
      <c r="F418" s="3">
        <v>46132</v>
      </c>
    </row>
    <row r="419" spans="1:6" x14ac:dyDescent="0.3">
      <c r="A419" t="s">
        <v>63</v>
      </c>
      <c r="B419">
        <v>60</v>
      </c>
      <c r="C419" s="2">
        <f t="shared" si="10"/>
        <v>4.6499999999999873E-4</v>
      </c>
      <c r="D419">
        <v>0.84789999999999999</v>
      </c>
      <c r="E419" s="1">
        <f t="shared" si="9"/>
        <v>0.54652777777777772</v>
      </c>
      <c r="F419" s="3">
        <v>46132</v>
      </c>
    </row>
    <row r="420" spans="1:6" x14ac:dyDescent="0.3">
      <c r="A420" t="s">
        <v>64</v>
      </c>
      <c r="B420">
        <v>60</v>
      </c>
      <c r="C420" s="2">
        <f t="shared" si="10"/>
        <v>1.0149999999999881E-3</v>
      </c>
      <c r="D420">
        <v>3.66</v>
      </c>
      <c r="E420" s="1">
        <f t="shared" si="9"/>
        <v>0.54652777777777772</v>
      </c>
      <c r="F420" s="3">
        <v>46132</v>
      </c>
    </row>
    <row r="421" spans="1:6" x14ac:dyDescent="0.3">
      <c r="A421" t="s">
        <v>65</v>
      </c>
      <c r="B421">
        <v>60</v>
      </c>
      <c r="C421" s="2">
        <f t="shared" si="10"/>
        <v>1.1199999999999988E-3</v>
      </c>
      <c r="D421">
        <v>1.6271</v>
      </c>
      <c r="E421" s="1">
        <f t="shared" si="9"/>
        <v>0.54722222222222217</v>
      </c>
      <c r="F421" s="3">
        <v>46132</v>
      </c>
    </row>
    <row r="422" spans="1:6" x14ac:dyDescent="0.3">
      <c r="A422" t="s">
        <v>59</v>
      </c>
      <c r="B422">
        <v>80</v>
      </c>
      <c r="C422" s="2">
        <f t="shared" si="10"/>
        <v>1.6599999999999948E-3</v>
      </c>
      <c r="D422">
        <v>2.7469999999999999</v>
      </c>
      <c r="E422" s="1">
        <f t="shared" si="9"/>
        <v>0.55902777777777768</v>
      </c>
      <c r="F422" s="3">
        <v>46132</v>
      </c>
    </row>
    <row r="423" spans="1:6" x14ac:dyDescent="0.3">
      <c r="A423" t="s">
        <v>60</v>
      </c>
      <c r="B423">
        <v>80</v>
      </c>
      <c r="C423" s="2">
        <f t="shared" si="10"/>
        <v>1.0349999999999971E-3</v>
      </c>
      <c r="D423">
        <v>1.5174000000000001</v>
      </c>
      <c r="E423" s="1">
        <f t="shared" si="9"/>
        <v>0.55972222222222212</v>
      </c>
      <c r="F423" s="3">
        <v>46132</v>
      </c>
    </row>
    <row r="424" spans="1:6" x14ac:dyDescent="0.3">
      <c r="A424" t="s">
        <v>61</v>
      </c>
      <c r="B424">
        <v>80</v>
      </c>
      <c r="C424" s="2">
        <f t="shared" si="10"/>
        <v>1.3050000000000006E-3</v>
      </c>
      <c r="D424">
        <v>2.0070000000000001</v>
      </c>
      <c r="E424" s="1">
        <f t="shared" si="9"/>
        <v>0.55972222222222212</v>
      </c>
      <c r="F424" s="3">
        <v>46132</v>
      </c>
    </row>
    <row r="425" spans="1:6" x14ac:dyDescent="0.3">
      <c r="A425" t="s">
        <v>62</v>
      </c>
      <c r="B425">
        <v>80</v>
      </c>
      <c r="C425" s="2">
        <f t="shared" si="10"/>
        <v>9.7000000000000417E-4</v>
      </c>
      <c r="D425">
        <v>1.8635999999999999</v>
      </c>
      <c r="E425" s="1">
        <f t="shared" si="9"/>
        <v>0.56041666666666656</v>
      </c>
      <c r="F425" s="3">
        <v>46132</v>
      </c>
    </row>
    <row r="426" spans="1:6" x14ac:dyDescent="0.3">
      <c r="A426" t="s">
        <v>63</v>
      </c>
      <c r="B426">
        <v>80</v>
      </c>
      <c r="C426" s="2">
        <f t="shared" si="10"/>
        <v>4.149999999999987E-4</v>
      </c>
      <c r="D426">
        <v>0.83960000000000001</v>
      </c>
      <c r="E426" s="1">
        <f t="shared" si="9"/>
        <v>0.56041666666666656</v>
      </c>
      <c r="F426" s="3">
        <v>46132</v>
      </c>
    </row>
    <row r="427" spans="1:6" x14ac:dyDescent="0.3">
      <c r="A427" t="s">
        <v>64</v>
      </c>
      <c r="B427">
        <v>80</v>
      </c>
      <c r="C427" s="2">
        <f t="shared" si="10"/>
        <v>9.5000000000000639E-4</v>
      </c>
      <c r="D427">
        <v>3.641</v>
      </c>
      <c r="E427" s="1">
        <f t="shared" si="9"/>
        <v>0.56041666666666656</v>
      </c>
      <c r="F427" s="3">
        <v>46132</v>
      </c>
    </row>
    <row r="428" spans="1:6" x14ac:dyDescent="0.3">
      <c r="A428" t="s">
        <v>65</v>
      </c>
      <c r="B428">
        <v>80</v>
      </c>
      <c r="C428" s="2">
        <f t="shared" si="10"/>
        <v>1.0299999999999975E-3</v>
      </c>
      <c r="D428">
        <v>1.6065</v>
      </c>
      <c r="E428" s="1">
        <f>E421+(20/1440)</f>
        <v>0.56111111111111101</v>
      </c>
      <c r="F428" s="3">
        <v>46132</v>
      </c>
    </row>
    <row r="429" spans="1:6" x14ac:dyDescent="0.3">
      <c r="A429" t="s">
        <v>59</v>
      </c>
      <c r="B429">
        <v>100</v>
      </c>
      <c r="C429" s="2">
        <f t="shared" si="10"/>
        <v>1.7700000000000049E-3</v>
      </c>
      <c r="D429">
        <v>2.7115999999999998</v>
      </c>
      <c r="E429" s="1">
        <f t="shared" si="9"/>
        <v>0.57291666666666652</v>
      </c>
      <c r="F429" s="3">
        <v>46132</v>
      </c>
    </row>
    <row r="430" spans="1:6" x14ac:dyDescent="0.3">
      <c r="A430" t="s">
        <v>60</v>
      </c>
      <c r="B430">
        <v>100</v>
      </c>
      <c r="C430" s="2">
        <f t="shared" si="10"/>
        <v>9.650000000000047E-4</v>
      </c>
      <c r="D430">
        <v>1.4981</v>
      </c>
      <c r="E430" s="1">
        <f t="shared" si="9"/>
        <v>0.57361111111111096</v>
      </c>
      <c r="F430" s="3">
        <v>46132</v>
      </c>
    </row>
    <row r="431" spans="1:6" x14ac:dyDescent="0.3">
      <c r="A431" t="s">
        <v>61</v>
      </c>
      <c r="B431">
        <v>100</v>
      </c>
      <c r="C431" s="2">
        <f t="shared" si="10"/>
        <v>1.3000000000000012E-3</v>
      </c>
      <c r="D431">
        <v>1.9810000000000001</v>
      </c>
      <c r="E431" s="1">
        <f t="shared" si="9"/>
        <v>0.57361111111111096</v>
      </c>
      <c r="F431" s="3">
        <v>46132</v>
      </c>
    </row>
    <row r="432" spans="1:6" x14ac:dyDescent="0.3">
      <c r="A432" t="s">
        <v>62</v>
      </c>
      <c r="B432">
        <v>100</v>
      </c>
      <c r="C432" s="2">
        <f t="shared" si="10"/>
        <v>8.5999999999999412E-4</v>
      </c>
      <c r="D432">
        <v>1.8464</v>
      </c>
      <c r="E432" s="1">
        <f t="shared" si="9"/>
        <v>0.5743055555555554</v>
      </c>
      <c r="F432" s="3">
        <v>46132</v>
      </c>
    </row>
    <row r="433" spans="1:6" x14ac:dyDescent="0.3">
      <c r="A433" t="s">
        <v>63</v>
      </c>
      <c r="B433">
        <v>100</v>
      </c>
      <c r="C433" s="2">
        <f t="shared" si="10"/>
        <v>5.2500000000000322E-4</v>
      </c>
      <c r="D433">
        <v>0.82909999999999995</v>
      </c>
      <c r="E433" s="1">
        <f t="shared" si="9"/>
        <v>0.5743055555555554</v>
      </c>
      <c r="F433" s="3">
        <v>46132</v>
      </c>
    </row>
    <row r="434" spans="1:6" x14ac:dyDescent="0.3">
      <c r="A434" t="s">
        <v>64</v>
      </c>
      <c r="B434">
        <v>100</v>
      </c>
      <c r="C434" s="2">
        <f t="shared" si="10"/>
        <v>8.750000000000036E-4</v>
      </c>
      <c r="D434">
        <v>3.6234999999999999</v>
      </c>
      <c r="E434" s="1">
        <f t="shared" si="9"/>
        <v>0.5743055555555554</v>
      </c>
      <c r="F434" s="3">
        <v>46132</v>
      </c>
    </row>
    <row r="435" spans="1:6" x14ac:dyDescent="0.3">
      <c r="A435" t="s">
        <v>65</v>
      </c>
      <c r="B435">
        <v>100</v>
      </c>
      <c r="C435" s="2">
        <f t="shared" si="10"/>
        <v>1.0399999999999964E-3</v>
      </c>
      <c r="D435">
        <v>1.5857000000000001</v>
      </c>
      <c r="E435" s="1">
        <f t="shared" si="9"/>
        <v>0.57499999999999984</v>
      </c>
      <c r="F435" s="3">
        <v>46132</v>
      </c>
    </row>
    <row r="436" spans="1:6" x14ac:dyDescent="0.3">
      <c r="A436" t="s">
        <v>59</v>
      </c>
      <c r="B436">
        <v>120</v>
      </c>
      <c r="C436" s="2">
        <f t="shared" si="10"/>
        <v>1.6299999999999982E-3</v>
      </c>
      <c r="D436">
        <v>2.6789999999999998</v>
      </c>
      <c r="E436" s="1">
        <f t="shared" si="9"/>
        <v>0.58680555555555536</v>
      </c>
      <c r="F436" s="3">
        <v>46132</v>
      </c>
    </row>
    <row r="437" spans="1:6" x14ac:dyDescent="0.3">
      <c r="A437" t="s">
        <v>60</v>
      </c>
      <c r="B437">
        <v>120</v>
      </c>
      <c r="C437" s="2">
        <f t="shared" si="10"/>
        <v>1.0199999999999988E-3</v>
      </c>
      <c r="D437">
        <v>1.4777</v>
      </c>
      <c r="E437" s="1">
        <f t="shared" si="9"/>
        <v>0.5874999999999998</v>
      </c>
      <c r="F437" s="3">
        <v>46132</v>
      </c>
    </row>
    <row r="438" spans="1:6" x14ac:dyDescent="0.3">
      <c r="A438" t="s">
        <v>61</v>
      </c>
      <c r="B438">
        <v>120</v>
      </c>
      <c r="C438" s="2">
        <f t="shared" si="10"/>
        <v>1.2450000000000072E-3</v>
      </c>
      <c r="D438">
        <v>1.9560999999999999</v>
      </c>
      <c r="E438" s="1">
        <f t="shared" si="9"/>
        <v>0.5874999999999998</v>
      </c>
      <c r="F438" s="3">
        <v>46132</v>
      </c>
    </row>
    <row r="439" spans="1:6" x14ac:dyDescent="0.3">
      <c r="A439" t="s">
        <v>62</v>
      </c>
      <c r="B439">
        <v>120</v>
      </c>
      <c r="C439" s="2">
        <f t="shared" si="10"/>
        <v>8.8000000000000296E-4</v>
      </c>
      <c r="D439">
        <v>1.8288</v>
      </c>
      <c r="E439" s="1">
        <f t="shared" si="9"/>
        <v>0.58819444444444424</v>
      </c>
      <c r="F439" s="3">
        <v>46132</v>
      </c>
    </row>
    <row r="440" spans="1:6" x14ac:dyDescent="0.3">
      <c r="A440" t="s">
        <v>63</v>
      </c>
      <c r="B440">
        <v>120</v>
      </c>
      <c r="C440" s="2">
        <f t="shared" si="10"/>
        <v>3.9499999999999534E-4</v>
      </c>
      <c r="D440">
        <v>0.82120000000000004</v>
      </c>
      <c r="E440" s="1">
        <f t="shared" si="9"/>
        <v>0.58819444444444424</v>
      </c>
      <c r="F440" s="3">
        <v>46132</v>
      </c>
    </row>
    <row r="441" spans="1:6" x14ac:dyDescent="0.3">
      <c r="A441" t="s">
        <v>64</v>
      </c>
      <c r="B441">
        <v>120</v>
      </c>
      <c r="C441" s="2">
        <f t="shared" si="10"/>
        <v>1.0249999999999871E-3</v>
      </c>
      <c r="D441">
        <v>3.6030000000000002</v>
      </c>
      <c r="E441" s="1">
        <f t="shared" si="9"/>
        <v>0.58819444444444424</v>
      </c>
      <c r="F441" s="3">
        <v>46132</v>
      </c>
    </row>
    <row r="442" spans="1:6" x14ac:dyDescent="0.3">
      <c r="A442" t="s">
        <v>65</v>
      </c>
      <c r="B442">
        <v>120</v>
      </c>
      <c r="C442" s="2">
        <f t="shared" si="10"/>
        <v>1.0800000000000033E-3</v>
      </c>
      <c r="D442">
        <v>1.5641</v>
      </c>
      <c r="E442" s="1">
        <f t="shared" si="9"/>
        <v>0.58888888888888868</v>
      </c>
      <c r="F442" s="3">
        <v>46132</v>
      </c>
    </row>
    <row r="443" spans="1:6" x14ac:dyDescent="0.3">
      <c r="A443" t="s">
        <v>59</v>
      </c>
      <c r="B443">
        <v>140</v>
      </c>
      <c r="C443" s="2">
        <f t="shared" si="10"/>
        <v>1.6799999999999927E-3</v>
      </c>
      <c r="D443">
        <v>2.6454</v>
      </c>
      <c r="E443" s="1">
        <f t="shared" si="9"/>
        <v>0.6006944444444442</v>
      </c>
      <c r="F443" s="3">
        <v>46132</v>
      </c>
    </row>
    <row r="444" spans="1:6" x14ac:dyDescent="0.3">
      <c r="A444" t="s">
        <v>60</v>
      </c>
      <c r="B444">
        <v>140</v>
      </c>
      <c r="C444" s="2">
        <f t="shared" si="10"/>
        <v>1.0399999999999964E-3</v>
      </c>
      <c r="D444">
        <v>1.4569000000000001</v>
      </c>
      <c r="E444" s="1">
        <f t="shared" si="9"/>
        <v>0.60138888888888864</v>
      </c>
      <c r="F444" s="3">
        <v>46132</v>
      </c>
    </row>
    <row r="445" spans="1:6" x14ac:dyDescent="0.3">
      <c r="A445" t="s">
        <v>61</v>
      </c>
      <c r="B445">
        <v>140</v>
      </c>
      <c r="C445" s="2">
        <f t="shared" si="10"/>
        <v>9.0999999999999968E-4</v>
      </c>
      <c r="D445">
        <v>1.9379</v>
      </c>
      <c r="E445" s="1">
        <f t="shared" si="9"/>
        <v>0.60138888888888864</v>
      </c>
      <c r="F445" s="3">
        <v>46132</v>
      </c>
    </row>
    <row r="446" spans="1:6" x14ac:dyDescent="0.3">
      <c r="A446" t="s">
        <v>62</v>
      </c>
      <c r="B446">
        <v>140</v>
      </c>
      <c r="C446" s="2">
        <f t="shared" si="10"/>
        <v>9.549999999999947E-4</v>
      </c>
      <c r="D446">
        <v>1.8097000000000001</v>
      </c>
      <c r="E446" s="1">
        <f t="shared" si="9"/>
        <v>0.60208333333333308</v>
      </c>
      <c r="F446" s="3">
        <v>46132</v>
      </c>
    </row>
    <row r="447" spans="1:6" x14ac:dyDescent="0.3">
      <c r="A447" t="s">
        <v>63</v>
      </c>
      <c r="B447">
        <v>140</v>
      </c>
      <c r="C447" s="2">
        <f t="shared" si="10"/>
        <v>4.3500000000000206E-4</v>
      </c>
      <c r="D447">
        <v>0.8125</v>
      </c>
      <c r="E447" s="1">
        <f t="shared" si="9"/>
        <v>0.60208333333333308</v>
      </c>
      <c r="F447" s="3">
        <v>46132</v>
      </c>
    </row>
    <row r="448" spans="1:6" x14ac:dyDescent="0.3">
      <c r="A448" t="s">
        <v>64</v>
      </c>
      <c r="B448">
        <v>140</v>
      </c>
      <c r="C448" s="2">
        <f t="shared" si="10"/>
        <v>9.000000000000119E-4</v>
      </c>
      <c r="D448">
        <v>3.585</v>
      </c>
      <c r="E448" s="1">
        <f t="shared" si="9"/>
        <v>0.60208333333333308</v>
      </c>
      <c r="F448" s="3">
        <v>46132</v>
      </c>
    </row>
    <row r="449" spans="1:6" x14ac:dyDescent="0.3">
      <c r="A449" t="s">
        <v>65</v>
      </c>
      <c r="B449">
        <v>140</v>
      </c>
      <c r="C449" s="2">
        <f t="shared" si="10"/>
        <v>9.2499999999999809E-4</v>
      </c>
      <c r="D449">
        <v>1.5456000000000001</v>
      </c>
      <c r="E449" s="1">
        <f t="shared" si="9"/>
        <v>0.60277777777777752</v>
      </c>
      <c r="F449" s="3">
        <v>46132</v>
      </c>
    </row>
    <row r="450" spans="1:6" x14ac:dyDescent="0.3">
      <c r="A450" t="s">
        <v>59</v>
      </c>
      <c r="B450">
        <v>160</v>
      </c>
      <c r="C450" s="2">
        <f t="shared" si="10"/>
        <v>1.8650000000000055E-3</v>
      </c>
      <c r="D450">
        <v>2.6080999999999999</v>
      </c>
      <c r="E450" s="1">
        <f t="shared" si="9"/>
        <v>0.61458333333333304</v>
      </c>
      <c r="F450" s="3">
        <v>46132</v>
      </c>
    </row>
    <row r="451" spans="1:6" x14ac:dyDescent="0.3">
      <c r="A451" t="s">
        <v>60</v>
      </c>
      <c r="B451">
        <v>160</v>
      </c>
      <c r="C451" s="2">
        <f t="shared" si="10"/>
        <v>9.9500000000000153E-4</v>
      </c>
      <c r="D451">
        <v>1.4370000000000001</v>
      </c>
      <c r="E451" s="1">
        <f t="shared" si="9"/>
        <v>0.61527777777777748</v>
      </c>
      <c r="F451" s="3">
        <v>46132</v>
      </c>
    </row>
    <row r="452" spans="1:6" x14ac:dyDescent="0.3">
      <c r="A452" t="s">
        <v>61</v>
      </c>
      <c r="B452">
        <v>160</v>
      </c>
      <c r="C452" s="2">
        <f t="shared" si="10"/>
        <v>9.2499999999999809E-4</v>
      </c>
      <c r="D452">
        <v>1.9194</v>
      </c>
      <c r="E452" s="1">
        <f t="shared" si="9"/>
        <v>0.61527777777777748</v>
      </c>
      <c r="F452" s="3">
        <v>46132</v>
      </c>
    </row>
    <row r="453" spans="1:6" x14ac:dyDescent="0.3">
      <c r="A453" t="s">
        <v>62</v>
      </c>
      <c r="B453">
        <v>160</v>
      </c>
      <c r="C453" s="2">
        <f t="shared" si="10"/>
        <v>8.4000000000000741E-4</v>
      </c>
      <c r="D453">
        <v>1.7928999999999999</v>
      </c>
      <c r="E453" s="1">
        <f t="shared" si="9"/>
        <v>0.61597222222222192</v>
      </c>
      <c r="F453" s="3">
        <v>46132</v>
      </c>
    </row>
    <row r="454" spans="1:6" x14ac:dyDescent="0.3">
      <c r="A454" t="s">
        <v>63</v>
      </c>
      <c r="B454">
        <v>160</v>
      </c>
      <c r="C454" s="2">
        <f t="shared" si="10"/>
        <v>4.3000000000000259E-4</v>
      </c>
      <c r="D454">
        <v>0.80389999999999995</v>
      </c>
      <c r="E454" s="1">
        <f t="shared" si="9"/>
        <v>0.61597222222222192</v>
      </c>
      <c r="F454" s="3">
        <v>46132</v>
      </c>
    </row>
    <row r="455" spans="1:6" x14ac:dyDescent="0.3">
      <c r="A455" t="s">
        <v>64</v>
      </c>
      <c r="B455">
        <v>160</v>
      </c>
      <c r="C455" s="2">
        <f t="shared" si="10"/>
        <v>9.0500000000000021E-4</v>
      </c>
      <c r="D455">
        <v>3.5669</v>
      </c>
      <c r="E455" s="1">
        <f t="shared" si="9"/>
        <v>0.61597222222222192</v>
      </c>
      <c r="F455" s="3">
        <v>46132</v>
      </c>
    </row>
    <row r="456" spans="1:6" x14ac:dyDescent="0.3">
      <c r="A456" t="s">
        <v>65</v>
      </c>
      <c r="B456">
        <v>160</v>
      </c>
      <c r="C456" s="2">
        <f t="shared" si="10"/>
        <v>9.9000000000000195E-4</v>
      </c>
      <c r="D456">
        <v>1.5258</v>
      </c>
      <c r="E456" s="1">
        <f t="shared" si="9"/>
        <v>0.61666666666666636</v>
      </c>
      <c r="F456" s="3">
        <v>46132</v>
      </c>
    </row>
    <row r="457" spans="1:6" x14ac:dyDescent="0.3">
      <c r="A457" t="s">
        <v>59</v>
      </c>
      <c r="B457">
        <v>180</v>
      </c>
      <c r="C457" s="2">
        <f t="shared" si="10"/>
        <v>1.2599999999999944E-3</v>
      </c>
      <c r="D457">
        <v>2.5829</v>
      </c>
      <c r="E457" s="1">
        <f t="shared" si="9"/>
        <v>0.62847222222222188</v>
      </c>
      <c r="F457" s="3">
        <v>46132</v>
      </c>
    </row>
    <row r="458" spans="1:6" x14ac:dyDescent="0.3">
      <c r="A458" t="s">
        <v>60</v>
      </c>
      <c r="B458">
        <v>180</v>
      </c>
      <c r="C458" s="2">
        <f t="shared" si="10"/>
        <v>8.5500000000000571E-4</v>
      </c>
      <c r="D458">
        <v>1.4198999999999999</v>
      </c>
      <c r="E458" s="1">
        <f t="shared" si="9"/>
        <v>0.62916666666666632</v>
      </c>
      <c r="F458" s="3">
        <v>46132</v>
      </c>
    </row>
    <row r="459" spans="1:6" x14ac:dyDescent="0.3">
      <c r="A459" t="s">
        <v>61</v>
      </c>
      <c r="B459">
        <v>180</v>
      </c>
      <c r="C459" s="2">
        <f t="shared" si="10"/>
        <v>1.1050000000000005E-3</v>
      </c>
      <c r="D459">
        <v>1.8973</v>
      </c>
      <c r="E459" s="1">
        <f t="shared" si="9"/>
        <v>0.62916666666666632</v>
      </c>
      <c r="F459" s="3">
        <v>46132</v>
      </c>
    </row>
    <row r="460" spans="1:6" x14ac:dyDescent="0.3">
      <c r="A460" t="s">
        <v>62</v>
      </c>
      <c r="B460">
        <v>180</v>
      </c>
      <c r="C460" s="2">
        <f t="shared" si="10"/>
        <v>7.7999999999999185E-4</v>
      </c>
      <c r="D460">
        <v>1.7773000000000001</v>
      </c>
      <c r="E460" s="1">
        <f t="shared" si="9"/>
        <v>0.62986111111111076</v>
      </c>
      <c r="F460" s="3">
        <v>46132</v>
      </c>
    </row>
    <row r="461" spans="1:6" x14ac:dyDescent="0.3">
      <c r="A461" t="s">
        <v>63</v>
      </c>
      <c r="B461">
        <v>180</v>
      </c>
      <c r="C461" s="2">
        <f t="shared" si="10"/>
        <v>4.0999999999999923E-4</v>
      </c>
      <c r="D461">
        <v>0.79569999999999996</v>
      </c>
      <c r="E461" s="1">
        <f t="shared" si="9"/>
        <v>0.62986111111111076</v>
      </c>
      <c r="F461" s="3">
        <v>46132</v>
      </c>
    </row>
    <row r="462" spans="1:6" x14ac:dyDescent="0.3">
      <c r="A462" t="s">
        <v>64</v>
      </c>
      <c r="B462">
        <v>180</v>
      </c>
      <c r="C462" s="2">
        <f t="shared" si="10"/>
        <v>8.4500000000000688E-4</v>
      </c>
      <c r="D462">
        <v>3.55</v>
      </c>
      <c r="E462" s="1">
        <f t="shared" si="9"/>
        <v>0.62986111111111076</v>
      </c>
      <c r="F462" s="3">
        <v>46132</v>
      </c>
    </row>
    <row r="463" spans="1:6" x14ac:dyDescent="0.3">
      <c r="A463" t="s">
        <v>65</v>
      </c>
      <c r="B463">
        <v>180</v>
      </c>
      <c r="C463" s="2">
        <f t="shared" si="10"/>
        <v>9.3499999999999692E-4</v>
      </c>
      <c r="D463">
        <v>1.5071000000000001</v>
      </c>
      <c r="E463" s="1">
        <f t="shared" si="9"/>
        <v>0.6305555555555552</v>
      </c>
      <c r="F463" s="3">
        <v>46132</v>
      </c>
    </row>
    <row r="464" spans="1:6" x14ac:dyDescent="0.3">
      <c r="A464" t="s">
        <v>59</v>
      </c>
      <c r="B464">
        <v>200</v>
      </c>
      <c r="C464" s="2">
        <f t="shared" si="10"/>
        <v>1.5400000000000079E-3</v>
      </c>
      <c r="D464">
        <v>2.5520999999999998</v>
      </c>
      <c r="E464" s="1">
        <f t="shared" si="9"/>
        <v>0.64236111111111072</v>
      </c>
      <c r="F464" s="3">
        <v>46132</v>
      </c>
    </row>
    <row r="465" spans="1:6" x14ac:dyDescent="0.3">
      <c r="A465" t="s">
        <v>60</v>
      </c>
      <c r="B465">
        <v>200</v>
      </c>
      <c r="C465" s="2">
        <f t="shared" si="10"/>
        <v>9.1499999999999915E-4</v>
      </c>
      <c r="D465">
        <v>1.4016</v>
      </c>
      <c r="E465" s="1">
        <f t="shared" ref="E465:E491" si="11">E458+(20/1440)</f>
        <v>0.64305555555555516</v>
      </c>
      <c r="F465" s="3">
        <v>46132</v>
      </c>
    </row>
    <row r="466" spans="1:6" x14ac:dyDescent="0.3">
      <c r="A466" t="s">
        <v>61</v>
      </c>
      <c r="B466">
        <v>200</v>
      </c>
      <c r="C466" s="2">
        <f t="shared" ref="C466:C491" si="12">(D459-D466)/20</f>
        <v>9.9000000000000195E-4</v>
      </c>
      <c r="D466">
        <v>1.8774999999999999</v>
      </c>
      <c r="E466" s="1">
        <f t="shared" si="11"/>
        <v>0.64305555555555516</v>
      </c>
      <c r="F466" s="3">
        <v>46132</v>
      </c>
    </row>
    <row r="467" spans="1:6" x14ac:dyDescent="0.3">
      <c r="A467" t="s">
        <v>62</v>
      </c>
      <c r="B467">
        <v>200</v>
      </c>
      <c r="C467" s="2">
        <f t="shared" si="12"/>
        <v>8.2000000000000963E-4</v>
      </c>
      <c r="D467">
        <v>1.7608999999999999</v>
      </c>
      <c r="E467" s="1">
        <f t="shared" si="11"/>
        <v>0.6437499999999996</v>
      </c>
      <c r="F467" s="3">
        <v>46132</v>
      </c>
    </row>
    <row r="468" spans="1:6" x14ac:dyDescent="0.3">
      <c r="A468" t="s">
        <v>63</v>
      </c>
      <c r="B468">
        <v>200</v>
      </c>
      <c r="C468" s="2">
        <f t="shared" si="12"/>
        <v>4.149999999999987E-4</v>
      </c>
      <c r="D468">
        <v>0.78739999999999999</v>
      </c>
      <c r="E468" s="1">
        <f t="shared" si="11"/>
        <v>0.6437499999999996</v>
      </c>
      <c r="F468" s="3">
        <v>46132</v>
      </c>
    </row>
    <row r="469" spans="1:6" x14ac:dyDescent="0.3">
      <c r="A469" t="s">
        <v>64</v>
      </c>
      <c r="B469">
        <v>200</v>
      </c>
      <c r="C469" s="2">
        <f t="shared" si="12"/>
        <v>8.3499999999998571E-4</v>
      </c>
      <c r="D469">
        <v>3.5333000000000001</v>
      </c>
      <c r="E469" s="1">
        <f t="shared" si="11"/>
        <v>0.6437499999999996</v>
      </c>
      <c r="F469" s="3">
        <v>46132</v>
      </c>
    </row>
    <row r="470" spans="1:6" x14ac:dyDescent="0.3">
      <c r="A470" t="s">
        <v>65</v>
      </c>
      <c r="B470">
        <v>200</v>
      </c>
      <c r="C470" s="5">
        <f t="shared" si="12"/>
        <v>8.8500000000000243E-4</v>
      </c>
      <c r="D470">
        <v>1.4894000000000001</v>
      </c>
      <c r="E470" s="1">
        <f t="shared" si="11"/>
        <v>0.64444444444444404</v>
      </c>
      <c r="F470" s="3">
        <v>46132</v>
      </c>
    </row>
    <row r="471" spans="1:6" x14ac:dyDescent="0.3">
      <c r="A471" t="s">
        <v>59</v>
      </c>
      <c r="B471">
        <v>220</v>
      </c>
      <c r="C471" s="5">
        <f t="shared" si="12"/>
        <v>1.5549999999999952E-3</v>
      </c>
      <c r="D471">
        <v>2.5209999999999999</v>
      </c>
      <c r="E471" s="1">
        <f t="shared" si="11"/>
        <v>0.65624999999999956</v>
      </c>
      <c r="F471" s="3">
        <v>46132</v>
      </c>
    </row>
    <row r="472" spans="1:6" x14ac:dyDescent="0.3">
      <c r="A472" t="s">
        <v>60</v>
      </c>
      <c r="B472">
        <v>220</v>
      </c>
      <c r="C472" s="2">
        <f t="shared" si="12"/>
        <v>9.0500000000000021E-4</v>
      </c>
      <c r="D472">
        <v>1.3835</v>
      </c>
      <c r="E472" s="1">
        <f t="shared" si="11"/>
        <v>0.656944444444444</v>
      </c>
      <c r="F472" s="3">
        <v>46132</v>
      </c>
    </row>
    <row r="473" spans="1:6" x14ac:dyDescent="0.3">
      <c r="A473" t="s">
        <v>61</v>
      </c>
      <c r="B473">
        <v>220</v>
      </c>
      <c r="C473" s="5">
        <f t="shared" si="12"/>
        <v>9.9000000000000195E-4</v>
      </c>
      <c r="D473">
        <v>1.8576999999999999</v>
      </c>
      <c r="E473" s="1">
        <f t="shared" si="11"/>
        <v>0.656944444444444</v>
      </c>
      <c r="F473" s="3">
        <v>46132</v>
      </c>
    </row>
    <row r="474" spans="1:6" x14ac:dyDescent="0.3">
      <c r="A474" t="s">
        <v>62</v>
      </c>
      <c r="B474">
        <v>220</v>
      </c>
      <c r="C474" s="5">
        <f t="shared" si="12"/>
        <v>8.1999999999999846E-4</v>
      </c>
      <c r="D474">
        <v>1.7444999999999999</v>
      </c>
      <c r="E474" s="1">
        <f t="shared" si="11"/>
        <v>0.65763888888888844</v>
      </c>
      <c r="F474" s="3">
        <v>46132</v>
      </c>
    </row>
    <row r="475" spans="1:6" x14ac:dyDescent="0.3">
      <c r="A475" t="s">
        <v>63</v>
      </c>
      <c r="B475">
        <v>220</v>
      </c>
      <c r="C475" s="5">
        <f t="shared" si="12"/>
        <v>3.9500000000000093E-4</v>
      </c>
      <c r="D475">
        <v>0.77949999999999997</v>
      </c>
      <c r="E475" s="1">
        <f t="shared" si="11"/>
        <v>0.65763888888888844</v>
      </c>
      <c r="F475" s="3">
        <v>46132</v>
      </c>
    </row>
    <row r="476" spans="1:6" x14ac:dyDescent="0.3">
      <c r="A476" t="s">
        <v>64</v>
      </c>
      <c r="B476">
        <v>220</v>
      </c>
      <c r="C476" s="5">
        <f t="shared" si="12"/>
        <v>8.5500000000000571E-4</v>
      </c>
      <c r="D476">
        <v>3.5162</v>
      </c>
      <c r="E476" s="1">
        <f t="shared" si="11"/>
        <v>0.65763888888888844</v>
      </c>
      <c r="F476" s="3">
        <v>46132</v>
      </c>
    </row>
    <row r="477" spans="1:6" x14ac:dyDescent="0.3">
      <c r="A477" t="s">
        <v>65</v>
      </c>
      <c r="B477">
        <v>220</v>
      </c>
      <c r="C477" s="5">
        <f t="shared" si="12"/>
        <v>1.0149999999999992E-3</v>
      </c>
      <c r="D477">
        <v>1.4691000000000001</v>
      </c>
      <c r="E477" s="1">
        <f t="shared" si="11"/>
        <v>0.65833333333333288</v>
      </c>
      <c r="F477" s="3">
        <v>46132</v>
      </c>
    </row>
    <row r="478" spans="1:6" x14ac:dyDescent="0.3">
      <c r="A478" t="s">
        <v>59</v>
      </c>
      <c r="B478">
        <v>240</v>
      </c>
      <c r="C478" s="5">
        <f t="shared" si="12"/>
        <v>1.4000000000000013E-3</v>
      </c>
      <c r="D478">
        <v>2.4929999999999999</v>
      </c>
      <c r="E478" s="1">
        <f t="shared" si="11"/>
        <v>0.6701388888888884</v>
      </c>
      <c r="F478" s="3">
        <v>46132</v>
      </c>
    </row>
    <row r="479" spans="1:6" x14ac:dyDescent="0.3">
      <c r="A479" t="s">
        <v>60</v>
      </c>
      <c r="B479">
        <v>240</v>
      </c>
      <c r="C479" s="2">
        <f t="shared" si="12"/>
        <v>9.1499999999999915E-4</v>
      </c>
      <c r="D479">
        <v>1.3652</v>
      </c>
      <c r="E479" s="1">
        <f t="shared" si="11"/>
        <v>0.67083333333333284</v>
      </c>
      <c r="F479" s="3">
        <v>46132</v>
      </c>
    </row>
    <row r="480" spans="1:6" x14ac:dyDescent="0.3">
      <c r="A480" t="s">
        <v>61</v>
      </c>
      <c r="B480">
        <v>240</v>
      </c>
      <c r="C480" s="5">
        <f t="shared" si="12"/>
        <v>1.0199999999999988E-3</v>
      </c>
      <c r="D480">
        <v>1.8372999999999999</v>
      </c>
      <c r="E480" s="1">
        <f t="shared" si="11"/>
        <v>0.67083333333333284</v>
      </c>
      <c r="F480" s="3">
        <v>46132</v>
      </c>
    </row>
    <row r="481" spans="1:6" x14ac:dyDescent="0.3">
      <c r="A481" t="s">
        <v>62</v>
      </c>
      <c r="B481">
        <v>240</v>
      </c>
      <c r="C481" s="5">
        <f t="shared" si="12"/>
        <v>8.4999999999999518E-4</v>
      </c>
      <c r="D481">
        <v>1.7275</v>
      </c>
      <c r="E481" s="1">
        <f t="shared" si="11"/>
        <v>0.67152777777777728</v>
      </c>
      <c r="F481" s="3">
        <v>46132</v>
      </c>
    </row>
    <row r="482" spans="1:6" x14ac:dyDescent="0.3">
      <c r="A482" t="s">
        <v>63</v>
      </c>
      <c r="B482">
        <v>240</v>
      </c>
      <c r="C482" s="5">
        <f t="shared" si="12"/>
        <v>4.2499999999999759E-4</v>
      </c>
      <c r="D482">
        <v>0.77100000000000002</v>
      </c>
      <c r="E482" s="1">
        <f t="shared" si="11"/>
        <v>0.67152777777777728</v>
      </c>
      <c r="F482" s="3">
        <v>46132</v>
      </c>
    </row>
    <row r="483" spans="1:6" x14ac:dyDescent="0.3">
      <c r="A483" t="s">
        <v>64</v>
      </c>
      <c r="B483">
        <v>240</v>
      </c>
      <c r="C483" s="5">
        <f t="shared" si="12"/>
        <v>8.6999999999999296E-4</v>
      </c>
      <c r="D483">
        <v>3.4988000000000001</v>
      </c>
      <c r="E483" s="1">
        <f t="shared" si="11"/>
        <v>0.67152777777777728</v>
      </c>
      <c r="F483" s="3">
        <v>46132</v>
      </c>
    </row>
    <row r="484" spans="1:6" x14ac:dyDescent="0.3">
      <c r="A484" t="s">
        <v>65</v>
      </c>
      <c r="B484">
        <v>240</v>
      </c>
      <c r="C484" s="5">
        <f t="shared" si="12"/>
        <v>8.3000000000000847E-4</v>
      </c>
      <c r="D484">
        <v>1.4524999999999999</v>
      </c>
      <c r="E484" s="1">
        <f t="shared" si="11"/>
        <v>0.67222222222222172</v>
      </c>
      <c r="F484" s="3">
        <v>46132</v>
      </c>
    </row>
    <row r="485" spans="1:6" x14ac:dyDescent="0.3">
      <c r="A485" t="s">
        <v>59</v>
      </c>
      <c r="B485">
        <v>260</v>
      </c>
      <c r="C485" s="5">
        <f t="shared" si="12"/>
        <v>1.4799999999999924E-3</v>
      </c>
      <c r="D485">
        <v>2.4634</v>
      </c>
      <c r="E485" s="1">
        <f t="shared" si="11"/>
        <v>0.68402777777777724</v>
      </c>
      <c r="F485" s="3">
        <v>46132</v>
      </c>
    </row>
    <row r="486" spans="1:6" x14ac:dyDescent="0.3">
      <c r="A486" t="s">
        <v>60</v>
      </c>
      <c r="B486">
        <v>260</v>
      </c>
      <c r="C486" s="5">
        <f t="shared" si="12"/>
        <v>9.1999999999999862E-4</v>
      </c>
      <c r="D486">
        <v>1.3468</v>
      </c>
      <c r="E486" s="1">
        <f t="shared" si="11"/>
        <v>0.68472222222222168</v>
      </c>
      <c r="F486" s="3">
        <v>46132</v>
      </c>
    </row>
    <row r="487" spans="1:6" x14ac:dyDescent="0.3">
      <c r="A487" t="s">
        <v>61</v>
      </c>
      <c r="B487">
        <v>260</v>
      </c>
      <c r="C487" s="5">
        <f t="shared" si="12"/>
        <v>1.0499999999999954E-3</v>
      </c>
      <c r="D487">
        <v>1.8163</v>
      </c>
      <c r="E487" s="1">
        <f t="shared" si="11"/>
        <v>0.68472222222222168</v>
      </c>
      <c r="F487" s="3">
        <v>46132</v>
      </c>
    </row>
    <row r="488" spans="1:6" x14ac:dyDescent="0.3">
      <c r="A488" t="s">
        <v>62</v>
      </c>
      <c r="B488">
        <v>260</v>
      </c>
      <c r="C488" s="5">
        <f t="shared" si="12"/>
        <v>7.500000000000062E-4</v>
      </c>
      <c r="D488">
        <v>1.7124999999999999</v>
      </c>
      <c r="E488" s="1">
        <f t="shared" si="11"/>
        <v>0.68541666666666612</v>
      </c>
      <c r="F488" s="3">
        <v>46132</v>
      </c>
    </row>
    <row r="489" spans="1:6" x14ac:dyDescent="0.3">
      <c r="A489" t="s">
        <v>63</v>
      </c>
      <c r="B489">
        <v>260</v>
      </c>
      <c r="C489" s="5">
        <f t="shared" si="12"/>
        <v>3.4000000000000143E-4</v>
      </c>
      <c r="D489">
        <v>0.76419999999999999</v>
      </c>
      <c r="E489" s="1">
        <f t="shared" si="11"/>
        <v>0.68541666666666612</v>
      </c>
      <c r="F489" s="3">
        <v>46132</v>
      </c>
    </row>
    <row r="490" spans="1:6" x14ac:dyDescent="0.3">
      <c r="A490" t="s">
        <v>64</v>
      </c>
      <c r="B490">
        <v>260</v>
      </c>
      <c r="C490" s="5">
        <f t="shared" si="12"/>
        <v>7.7000000000000397E-4</v>
      </c>
      <c r="D490">
        <v>3.4834000000000001</v>
      </c>
      <c r="E490" s="1">
        <f t="shared" si="11"/>
        <v>0.68541666666666612</v>
      </c>
      <c r="F490" s="3">
        <v>46132</v>
      </c>
    </row>
    <row r="491" spans="1:6" x14ac:dyDescent="0.3">
      <c r="A491" t="s">
        <v>65</v>
      </c>
      <c r="B491">
        <v>260</v>
      </c>
      <c r="C491" s="5">
        <f t="shared" si="12"/>
        <v>9.1499999999999915E-4</v>
      </c>
      <c r="D491">
        <v>1.4341999999999999</v>
      </c>
      <c r="E491" s="1">
        <f t="shared" si="11"/>
        <v>0.68611111111111056</v>
      </c>
      <c r="F491" s="3">
        <v>46132</v>
      </c>
    </row>
    <row r="492" spans="1:6" x14ac:dyDescent="0.3">
      <c r="A492" t="s">
        <v>67</v>
      </c>
      <c r="B492">
        <v>0</v>
      </c>
      <c r="C492">
        <v>0</v>
      </c>
      <c r="D492">
        <v>2.2999999999999998</v>
      </c>
      <c r="E492" s="1">
        <f>E482+20/1440</f>
        <v>0.68541666666666612</v>
      </c>
      <c r="F492" s="3">
        <v>46134</v>
      </c>
    </row>
    <row r="493" spans="1:6" x14ac:dyDescent="0.3">
      <c r="A493" t="s">
        <v>68</v>
      </c>
      <c r="B493">
        <v>0</v>
      </c>
      <c r="C493">
        <v>0</v>
      </c>
      <c r="D493">
        <v>3.2515000000000001</v>
      </c>
      <c r="E493" s="1">
        <f t="shared" ref="E493:E501" si="13">E483+20/1440</f>
        <v>0.68541666666666612</v>
      </c>
      <c r="F493" s="3">
        <v>46134</v>
      </c>
    </row>
    <row r="494" spans="1:6" x14ac:dyDescent="0.3">
      <c r="A494" t="s">
        <v>69</v>
      </c>
      <c r="B494">
        <v>0</v>
      </c>
      <c r="C494">
        <v>0</v>
      </c>
      <c r="D494">
        <v>2.3978999999999999</v>
      </c>
      <c r="E494" s="1">
        <f t="shared" si="13"/>
        <v>0.68611111111111056</v>
      </c>
      <c r="F494" s="3">
        <v>46134</v>
      </c>
    </row>
    <row r="495" spans="1:6" x14ac:dyDescent="0.3">
      <c r="A495" t="s">
        <v>3</v>
      </c>
      <c r="B495">
        <v>0</v>
      </c>
      <c r="C495">
        <v>0</v>
      </c>
      <c r="D495">
        <v>2.8245</v>
      </c>
      <c r="E495" s="1">
        <f t="shared" si="13"/>
        <v>0.69791666666666607</v>
      </c>
      <c r="F495" s="3">
        <v>46134</v>
      </c>
    </row>
    <row r="496" spans="1:6" x14ac:dyDescent="0.3">
      <c r="A496" t="s">
        <v>71</v>
      </c>
      <c r="B496">
        <v>0</v>
      </c>
      <c r="C496">
        <v>0</v>
      </c>
      <c r="D496">
        <v>2.3529</v>
      </c>
      <c r="E496" s="1">
        <f t="shared" si="13"/>
        <v>0.69861111111111052</v>
      </c>
      <c r="F496" s="3">
        <v>46134</v>
      </c>
    </row>
    <row r="497" spans="1:6" x14ac:dyDescent="0.3">
      <c r="A497" t="s">
        <v>72</v>
      </c>
      <c r="B497">
        <v>0</v>
      </c>
      <c r="C497">
        <v>0</v>
      </c>
      <c r="D497">
        <v>2.5215000000000001</v>
      </c>
      <c r="E497" s="1">
        <f t="shared" si="13"/>
        <v>0.69861111111111052</v>
      </c>
      <c r="F497" s="3">
        <v>46134</v>
      </c>
    </row>
    <row r="498" spans="1:6" x14ac:dyDescent="0.3">
      <c r="A498" t="s">
        <v>73</v>
      </c>
      <c r="B498">
        <v>0</v>
      </c>
      <c r="C498">
        <v>0</v>
      </c>
      <c r="D498">
        <v>1.5781000000000001</v>
      </c>
      <c r="E498" s="1">
        <f t="shared" si="13"/>
        <v>0.69930555555555496</v>
      </c>
      <c r="F498" s="3">
        <v>46134</v>
      </c>
    </row>
    <row r="499" spans="1:6" x14ac:dyDescent="0.3">
      <c r="A499" t="s">
        <v>74</v>
      </c>
      <c r="B499">
        <v>0</v>
      </c>
      <c r="C499">
        <v>0</v>
      </c>
      <c r="D499">
        <v>2.1806999999999999</v>
      </c>
      <c r="E499" s="1">
        <f t="shared" si="13"/>
        <v>0.69930555555555496</v>
      </c>
      <c r="F499" s="3">
        <v>46134</v>
      </c>
    </row>
    <row r="500" spans="1:6" x14ac:dyDescent="0.3">
      <c r="A500" t="s">
        <v>75</v>
      </c>
      <c r="B500">
        <v>0</v>
      </c>
      <c r="C500">
        <v>0</v>
      </c>
      <c r="D500">
        <v>1.6677</v>
      </c>
      <c r="E500" s="1">
        <f t="shared" si="13"/>
        <v>0.69930555555555496</v>
      </c>
      <c r="F500" s="3">
        <v>46134</v>
      </c>
    </row>
    <row r="501" spans="1:6" x14ac:dyDescent="0.3">
      <c r="A501" t="s">
        <v>76</v>
      </c>
      <c r="B501">
        <v>0</v>
      </c>
      <c r="C501">
        <v>0</v>
      </c>
      <c r="D501">
        <v>1.4547000000000001</v>
      </c>
      <c r="E501" s="1">
        <f t="shared" si="13"/>
        <v>0.6999999999999994</v>
      </c>
      <c r="F501" s="3">
        <v>46134</v>
      </c>
    </row>
    <row r="502" spans="1:6" x14ac:dyDescent="0.3">
      <c r="A502" t="s">
        <v>67</v>
      </c>
      <c r="B502">
        <v>20</v>
      </c>
      <c r="C502" s="5">
        <f>(D492-D502)/20</f>
        <v>7.6999999999998185E-4</v>
      </c>
      <c r="D502">
        <v>2.2846000000000002</v>
      </c>
      <c r="E502" s="1">
        <f>E492+20/1440</f>
        <v>0.69930555555555496</v>
      </c>
      <c r="F502" s="3">
        <v>46134</v>
      </c>
    </row>
    <row r="503" spans="1:6" x14ac:dyDescent="0.3">
      <c r="A503" t="s">
        <v>68</v>
      </c>
      <c r="B503">
        <v>20</v>
      </c>
      <c r="C503" s="5">
        <f t="shared" ref="C503:C566" si="14">(D493-D503)/20</f>
        <v>1.4750000000000041E-3</v>
      </c>
      <c r="D503">
        <v>3.222</v>
      </c>
      <c r="E503" s="1">
        <f t="shared" ref="E503:E507" si="15">E493+20/1440</f>
        <v>0.69930555555555496</v>
      </c>
      <c r="F503" s="3">
        <v>46134</v>
      </c>
    </row>
    <row r="504" spans="1:6" x14ac:dyDescent="0.3">
      <c r="A504" t="s">
        <v>69</v>
      </c>
      <c r="B504">
        <v>20</v>
      </c>
      <c r="C504" s="5">
        <f t="shared" si="14"/>
        <v>8.8500000000000243E-4</v>
      </c>
      <c r="D504">
        <v>2.3801999999999999</v>
      </c>
      <c r="E504" s="1">
        <f t="shared" si="15"/>
        <v>0.6999999999999994</v>
      </c>
      <c r="F504" s="3">
        <v>46134</v>
      </c>
    </row>
    <row r="505" spans="1:6" x14ac:dyDescent="0.3">
      <c r="A505" t="s">
        <v>3</v>
      </c>
      <c r="B505">
        <v>20</v>
      </c>
      <c r="C505" s="2">
        <f t="shared" si="14"/>
        <v>1.1200000000000099E-3</v>
      </c>
      <c r="D505">
        <v>2.8020999999999998</v>
      </c>
      <c r="E505" s="1">
        <f t="shared" si="15"/>
        <v>0.71180555555555491</v>
      </c>
      <c r="F505" s="3">
        <v>46134</v>
      </c>
    </row>
    <row r="506" spans="1:6" x14ac:dyDescent="0.3">
      <c r="A506" t="s">
        <v>71</v>
      </c>
      <c r="B506">
        <v>20</v>
      </c>
      <c r="C506" s="5">
        <f t="shared" si="14"/>
        <v>8.250000000000091E-4</v>
      </c>
      <c r="D506">
        <v>2.3363999999999998</v>
      </c>
      <c r="E506" s="1">
        <f t="shared" si="15"/>
        <v>0.71249999999999936</v>
      </c>
      <c r="F506" s="3">
        <v>46134</v>
      </c>
    </row>
    <row r="507" spans="1:6" x14ac:dyDescent="0.3">
      <c r="A507" t="s">
        <v>72</v>
      </c>
      <c r="B507">
        <v>20</v>
      </c>
      <c r="C507" s="5">
        <f t="shared" si="14"/>
        <v>1.6399999999999969E-3</v>
      </c>
      <c r="D507">
        <v>2.4887000000000001</v>
      </c>
      <c r="E507" s="1">
        <f t="shared" si="15"/>
        <v>0.71249999999999936</v>
      </c>
      <c r="F507" s="3">
        <v>46134</v>
      </c>
    </row>
    <row r="508" spans="1:6" x14ac:dyDescent="0.3">
      <c r="A508" t="s">
        <v>73</v>
      </c>
      <c r="B508">
        <v>20</v>
      </c>
      <c r="C508" s="5">
        <f t="shared" si="14"/>
        <v>6.750000000000034E-4</v>
      </c>
      <c r="D508">
        <v>1.5646</v>
      </c>
      <c r="E508" s="1">
        <f>E498+20/1440</f>
        <v>0.7131944444444438</v>
      </c>
      <c r="F508" s="3">
        <v>46134</v>
      </c>
    </row>
    <row r="509" spans="1:6" x14ac:dyDescent="0.3">
      <c r="A509" t="s">
        <v>74</v>
      </c>
      <c r="B509">
        <v>20</v>
      </c>
      <c r="C509" s="5">
        <f t="shared" si="14"/>
        <v>9.3499999999999692E-4</v>
      </c>
      <c r="D509">
        <v>2.1619999999999999</v>
      </c>
      <c r="E509" s="1">
        <f>E499+20/1440</f>
        <v>0.7131944444444438</v>
      </c>
      <c r="F509" s="3">
        <v>46134</v>
      </c>
    </row>
    <row r="510" spans="1:6" x14ac:dyDescent="0.3">
      <c r="A510" t="s">
        <v>75</v>
      </c>
      <c r="B510">
        <v>20</v>
      </c>
      <c r="C510" s="5">
        <f t="shared" si="14"/>
        <v>1.3699999999999934E-3</v>
      </c>
      <c r="D510">
        <v>1.6403000000000001</v>
      </c>
      <c r="E510" s="1">
        <f>E500+20/1440</f>
        <v>0.7131944444444438</v>
      </c>
      <c r="F510" s="3">
        <v>46134</v>
      </c>
    </row>
    <row r="511" spans="1:6" x14ac:dyDescent="0.3">
      <c r="A511" t="s">
        <v>76</v>
      </c>
      <c r="B511">
        <v>20</v>
      </c>
      <c r="C511" s="5">
        <f t="shared" si="14"/>
        <v>1.6200000000000103E-3</v>
      </c>
      <c r="D511">
        <v>1.4222999999999999</v>
      </c>
      <c r="E511" s="1">
        <f>E501+20/1440</f>
        <v>0.71388888888888824</v>
      </c>
      <c r="F511" s="3">
        <v>46134</v>
      </c>
    </row>
    <row r="512" spans="1:6" x14ac:dyDescent="0.3">
      <c r="A512" t="s">
        <v>67</v>
      </c>
      <c r="B512">
        <v>40</v>
      </c>
      <c r="C512" s="5">
        <f t="shared" si="14"/>
        <v>7.4000000000000736E-4</v>
      </c>
      <c r="D512">
        <v>2.2698</v>
      </c>
      <c r="E512" s="8">
        <f t="shared" ref="E512:E575" si="16">E502+20/1440</f>
        <v>0.7131944444444438</v>
      </c>
      <c r="F512" s="3">
        <v>46134</v>
      </c>
    </row>
    <row r="513" spans="1:6" x14ac:dyDescent="0.3">
      <c r="A513" t="s">
        <v>68</v>
      </c>
      <c r="B513">
        <v>40</v>
      </c>
      <c r="C513" s="5">
        <f t="shared" si="14"/>
        <v>1.6599999999999948E-3</v>
      </c>
      <c r="D513">
        <v>3.1888000000000001</v>
      </c>
      <c r="E513" s="1">
        <f t="shared" si="16"/>
        <v>0.7131944444444438</v>
      </c>
      <c r="F513" s="3">
        <v>46134</v>
      </c>
    </row>
    <row r="514" spans="1:6" x14ac:dyDescent="0.3">
      <c r="A514" t="s">
        <v>69</v>
      </c>
      <c r="B514">
        <v>40</v>
      </c>
      <c r="C514" s="5">
        <f t="shared" si="14"/>
        <v>9.5999999999998311E-4</v>
      </c>
      <c r="D514">
        <v>2.3610000000000002</v>
      </c>
      <c r="E514" s="1">
        <f t="shared" si="16"/>
        <v>0.71388888888888824</v>
      </c>
      <c r="F514" s="3">
        <v>46134</v>
      </c>
    </row>
    <row r="515" spans="1:6" x14ac:dyDescent="0.3">
      <c r="A515" t="s">
        <v>3</v>
      </c>
      <c r="B515">
        <v>40</v>
      </c>
      <c r="C515" s="2">
        <f t="shared" si="14"/>
        <v>1.1499999999999844E-3</v>
      </c>
      <c r="D515">
        <v>2.7791000000000001</v>
      </c>
      <c r="E515" s="1">
        <f t="shared" si="16"/>
        <v>0.72569444444444375</v>
      </c>
      <c r="F515" s="3">
        <v>46134</v>
      </c>
    </row>
    <row r="516" spans="1:6" x14ac:dyDescent="0.3">
      <c r="A516" t="s">
        <v>71</v>
      </c>
      <c r="B516">
        <v>40</v>
      </c>
      <c r="C516" s="5">
        <f t="shared" si="14"/>
        <v>1.0699999999999933E-3</v>
      </c>
      <c r="D516">
        <v>2.3149999999999999</v>
      </c>
      <c r="E516" s="1">
        <f t="shared" si="16"/>
        <v>0.7263888888888882</v>
      </c>
      <c r="F516" s="3">
        <v>46134</v>
      </c>
    </row>
    <row r="517" spans="1:6" x14ac:dyDescent="0.3">
      <c r="A517" t="s">
        <v>72</v>
      </c>
      <c r="B517">
        <v>40</v>
      </c>
      <c r="C517" s="5">
        <f t="shared" si="14"/>
        <v>1.8450000000000077E-3</v>
      </c>
      <c r="D517">
        <v>2.4518</v>
      </c>
      <c r="E517" s="1">
        <f t="shared" si="16"/>
        <v>0.7263888888888882</v>
      </c>
      <c r="F517" s="3">
        <v>46134</v>
      </c>
    </row>
    <row r="518" spans="1:6" x14ac:dyDescent="0.3">
      <c r="A518" t="s">
        <v>73</v>
      </c>
      <c r="B518">
        <v>40</v>
      </c>
      <c r="C518" s="5">
        <f t="shared" si="14"/>
        <v>6.7000000000000393E-4</v>
      </c>
      <c r="D518">
        <v>1.5511999999999999</v>
      </c>
      <c r="E518" s="1">
        <f t="shared" si="16"/>
        <v>0.72708333333333264</v>
      </c>
      <c r="F518" s="3">
        <v>46134</v>
      </c>
    </row>
    <row r="519" spans="1:6" x14ac:dyDescent="0.3">
      <c r="A519" t="s">
        <v>74</v>
      </c>
      <c r="B519">
        <v>40</v>
      </c>
      <c r="C519" s="5">
        <f t="shared" si="14"/>
        <v>8.5999999999999412E-4</v>
      </c>
      <c r="D519">
        <v>2.1448</v>
      </c>
      <c r="E519" s="1">
        <f t="shared" si="16"/>
        <v>0.72708333333333264</v>
      </c>
      <c r="F519" s="3">
        <v>46134</v>
      </c>
    </row>
    <row r="520" spans="1:6" x14ac:dyDescent="0.3">
      <c r="A520" t="s">
        <v>75</v>
      </c>
      <c r="B520">
        <v>40</v>
      </c>
      <c r="C520" s="5">
        <f t="shared" si="14"/>
        <v>1.8800000000000038E-3</v>
      </c>
      <c r="D520">
        <v>1.6027</v>
      </c>
      <c r="E520" s="1">
        <f t="shared" si="16"/>
        <v>0.72708333333333264</v>
      </c>
      <c r="F520" s="3">
        <v>46134</v>
      </c>
    </row>
    <row r="521" spans="1:6" x14ac:dyDescent="0.3">
      <c r="A521" t="s">
        <v>76</v>
      </c>
      <c r="B521">
        <v>40</v>
      </c>
      <c r="C521" s="5">
        <f t="shared" si="14"/>
        <v>1.4299999999999979E-3</v>
      </c>
      <c r="D521">
        <v>1.3936999999999999</v>
      </c>
      <c r="E521" s="1">
        <f t="shared" si="16"/>
        <v>0.72777777777777708</v>
      </c>
      <c r="F521" s="3">
        <v>46134</v>
      </c>
    </row>
    <row r="522" spans="1:6" x14ac:dyDescent="0.3">
      <c r="A522" t="s">
        <v>67</v>
      </c>
      <c r="B522">
        <v>60</v>
      </c>
      <c r="C522" s="5">
        <f t="shared" si="14"/>
        <v>6.4500000000000668E-4</v>
      </c>
      <c r="D522">
        <v>2.2568999999999999</v>
      </c>
      <c r="E522" s="8">
        <f t="shared" si="16"/>
        <v>0.72708333333333264</v>
      </c>
      <c r="F522" s="3">
        <v>46134</v>
      </c>
    </row>
    <row r="523" spans="1:6" x14ac:dyDescent="0.3">
      <c r="A523" t="s">
        <v>68</v>
      </c>
      <c r="B523">
        <v>60</v>
      </c>
      <c r="C523" s="5">
        <f t="shared" si="14"/>
        <v>2.0750000000000048E-3</v>
      </c>
      <c r="D523">
        <v>3.1473</v>
      </c>
      <c r="E523" s="1">
        <f t="shared" si="16"/>
        <v>0.72708333333333264</v>
      </c>
      <c r="F523" s="3">
        <v>46134</v>
      </c>
    </row>
    <row r="524" spans="1:6" x14ac:dyDescent="0.3">
      <c r="A524" t="s">
        <v>69</v>
      </c>
      <c r="B524">
        <v>60</v>
      </c>
      <c r="C524" s="5">
        <f t="shared" si="14"/>
        <v>1.2600000000000167E-3</v>
      </c>
      <c r="D524">
        <v>2.3357999999999999</v>
      </c>
      <c r="E524" s="1">
        <f t="shared" si="16"/>
        <v>0.72777777777777708</v>
      </c>
      <c r="F524" s="3">
        <v>46134</v>
      </c>
    </row>
    <row r="525" spans="1:6" x14ac:dyDescent="0.3">
      <c r="A525" t="s">
        <v>3</v>
      </c>
      <c r="B525">
        <v>60</v>
      </c>
      <c r="C525" s="2">
        <f t="shared" si="14"/>
        <v>1.2900000000000134E-3</v>
      </c>
      <c r="D525">
        <v>2.7532999999999999</v>
      </c>
      <c r="E525" s="1">
        <f t="shared" si="16"/>
        <v>0.73958333333333259</v>
      </c>
      <c r="F525" s="3">
        <v>46134</v>
      </c>
    </row>
    <row r="526" spans="1:6" x14ac:dyDescent="0.3">
      <c r="A526" t="s">
        <v>71</v>
      </c>
      <c r="B526">
        <v>60</v>
      </c>
      <c r="C526" s="5">
        <f t="shared" si="14"/>
        <v>1.1199999999999878E-3</v>
      </c>
      <c r="D526">
        <v>2.2926000000000002</v>
      </c>
      <c r="E526" s="1">
        <f t="shared" si="16"/>
        <v>0.74027777777777704</v>
      </c>
      <c r="F526" s="3">
        <v>46134</v>
      </c>
    </row>
    <row r="527" spans="1:6" x14ac:dyDescent="0.3">
      <c r="A527" t="s">
        <v>72</v>
      </c>
      <c r="B527">
        <v>60</v>
      </c>
      <c r="C527" s="5">
        <f t="shared" si="14"/>
        <v>1.8299999999999983E-3</v>
      </c>
      <c r="D527">
        <v>2.4152</v>
      </c>
      <c r="E527" s="1">
        <f t="shared" si="16"/>
        <v>0.74027777777777704</v>
      </c>
      <c r="F527" s="3">
        <v>46134</v>
      </c>
    </row>
    <row r="528" spans="1:6" x14ac:dyDescent="0.3">
      <c r="A528" t="s">
        <v>73</v>
      </c>
      <c r="B528">
        <v>60</v>
      </c>
      <c r="C528" s="5">
        <f t="shared" si="14"/>
        <v>6.6999999999999287E-4</v>
      </c>
      <c r="D528">
        <v>1.5378000000000001</v>
      </c>
      <c r="E528" s="1">
        <f t="shared" si="16"/>
        <v>0.74097222222222148</v>
      </c>
      <c r="F528" s="3">
        <v>46134</v>
      </c>
    </row>
    <row r="529" spans="1:6" x14ac:dyDescent="0.3">
      <c r="A529" t="s">
        <v>74</v>
      </c>
      <c r="B529">
        <v>60</v>
      </c>
      <c r="C529" s="5">
        <f t="shared" si="14"/>
        <v>8.0500000000001122E-4</v>
      </c>
      <c r="D529">
        <v>2.1286999999999998</v>
      </c>
      <c r="E529" s="1">
        <f t="shared" si="16"/>
        <v>0.74097222222222148</v>
      </c>
      <c r="F529" s="3">
        <v>46134</v>
      </c>
    </row>
    <row r="530" spans="1:6" x14ac:dyDescent="0.3">
      <c r="A530" t="s">
        <v>75</v>
      </c>
      <c r="B530">
        <v>60</v>
      </c>
      <c r="C530" s="5">
        <f t="shared" si="14"/>
        <v>1.2249999999999982E-3</v>
      </c>
      <c r="D530">
        <v>1.5782</v>
      </c>
      <c r="E530" s="1">
        <f t="shared" si="16"/>
        <v>0.74097222222222148</v>
      </c>
      <c r="F530" s="3">
        <v>46134</v>
      </c>
    </row>
    <row r="531" spans="1:6" x14ac:dyDescent="0.3">
      <c r="A531" t="s">
        <v>76</v>
      </c>
      <c r="B531">
        <v>60</v>
      </c>
      <c r="C531" s="5">
        <f t="shared" si="14"/>
        <v>1.3549999999999951E-3</v>
      </c>
      <c r="D531">
        <v>1.3666</v>
      </c>
      <c r="E531" s="1">
        <f t="shared" si="16"/>
        <v>0.74166666666666592</v>
      </c>
      <c r="F531" s="3">
        <v>46134</v>
      </c>
    </row>
    <row r="532" spans="1:6" x14ac:dyDescent="0.3">
      <c r="A532" t="s">
        <v>67</v>
      </c>
      <c r="B532">
        <v>80</v>
      </c>
      <c r="C532" s="5">
        <f t="shared" si="14"/>
        <v>7.9000000000000186E-4</v>
      </c>
      <c r="D532">
        <v>2.2410999999999999</v>
      </c>
      <c r="E532" s="8">
        <f t="shared" si="16"/>
        <v>0.74097222222222148</v>
      </c>
      <c r="F532" s="3">
        <v>46134</v>
      </c>
    </row>
    <row r="533" spans="1:6" x14ac:dyDescent="0.3">
      <c r="A533" t="s">
        <v>68</v>
      </c>
      <c r="B533">
        <v>80</v>
      </c>
      <c r="C533" s="5">
        <f t="shared" si="14"/>
        <v>3.1549999999999968E-3</v>
      </c>
      <c r="D533">
        <v>3.0842000000000001</v>
      </c>
      <c r="E533" s="1">
        <f t="shared" si="16"/>
        <v>0.74097222222222148</v>
      </c>
      <c r="F533" s="3">
        <v>46134</v>
      </c>
    </row>
    <row r="534" spans="1:6" x14ac:dyDescent="0.3">
      <c r="A534" t="s">
        <v>69</v>
      </c>
      <c r="B534">
        <v>80</v>
      </c>
      <c r="C534" s="5">
        <f t="shared" si="14"/>
        <v>1.9599999999999839E-3</v>
      </c>
      <c r="D534">
        <v>2.2966000000000002</v>
      </c>
      <c r="E534" s="1">
        <f t="shared" si="16"/>
        <v>0.74166666666666592</v>
      </c>
      <c r="F534" s="3">
        <v>46134</v>
      </c>
    </row>
    <row r="535" spans="1:6" x14ac:dyDescent="0.3">
      <c r="A535" t="s">
        <v>3</v>
      </c>
      <c r="B535">
        <v>80</v>
      </c>
      <c r="C535" s="2">
        <f t="shared" si="14"/>
        <v>1.2649999999999827E-3</v>
      </c>
      <c r="D535">
        <v>2.7280000000000002</v>
      </c>
      <c r="E535" s="1">
        <f t="shared" si="16"/>
        <v>0.75347222222222143</v>
      </c>
      <c r="F535" s="3">
        <v>46134</v>
      </c>
    </row>
    <row r="536" spans="1:6" x14ac:dyDescent="0.3">
      <c r="A536" t="s">
        <v>71</v>
      </c>
      <c r="B536">
        <v>80</v>
      </c>
      <c r="C536" s="5">
        <f t="shared" si="14"/>
        <v>9.2000000000000968E-4</v>
      </c>
      <c r="D536">
        <v>2.2742</v>
      </c>
      <c r="E536" s="1">
        <f t="shared" si="16"/>
        <v>0.75416666666666587</v>
      </c>
      <c r="F536" s="3">
        <v>46134</v>
      </c>
    </row>
    <row r="537" spans="1:6" x14ac:dyDescent="0.3">
      <c r="A537" t="s">
        <v>72</v>
      </c>
      <c r="B537">
        <v>80</v>
      </c>
      <c r="C537" s="5">
        <f t="shared" si="14"/>
        <v>1.4699999999999934E-3</v>
      </c>
      <c r="D537">
        <v>2.3858000000000001</v>
      </c>
      <c r="E537" s="1">
        <f t="shared" si="16"/>
        <v>0.75416666666666587</v>
      </c>
      <c r="F537" s="3">
        <v>46134</v>
      </c>
    </row>
    <row r="538" spans="1:6" x14ac:dyDescent="0.3">
      <c r="A538" t="s">
        <v>73</v>
      </c>
      <c r="B538">
        <v>80</v>
      </c>
      <c r="C538" s="5">
        <f t="shared" si="14"/>
        <v>6.0000000000000049E-4</v>
      </c>
      <c r="D538">
        <v>1.5258</v>
      </c>
      <c r="E538" s="1">
        <f t="shared" si="16"/>
        <v>0.75486111111111032</v>
      </c>
      <c r="F538" s="3">
        <v>46134</v>
      </c>
    </row>
    <row r="539" spans="1:6" x14ac:dyDescent="0.3">
      <c r="A539" t="s">
        <v>74</v>
      </c>
      <c r="B539">
        <v>80</v>
      </c>
      <c r="C539" s="5">
        <f t="shared" si="14"/>
        <v>8.6999999999999296E-4</v>
      </c>
      <c r="D539">
        <v>2.1113</v>
      </c>
      <c r="E539" s="1">
        <f t="shared" si="16"/>
        <v>0.75486111111111032</v>
      </c>
      <c r="F539" s="3">
        <v>46134</v>
      </c>
    </row>
    <row r="540" spans="1:6" x14ac:dyDescent="0.3">
      <c r="A540" t="s">
        <v>75</v>
      </c>
      <c r="B540">
        <v>80</v>
      </c>
      <c r="C540" s="5">
        <f t="shared" si="14"/>
        <v>1.2349999999999972E-3</v>
      </c>
      <c r="D540">
        <v>1.5535000000000001</v>
      </c>
      <c r="E540" s="1">
        <f t="shared" si="16"/>
        <v>0.75486111111111032</v>
      </c>
      <c r="F540" s="3">
        <v>46134</v>
      </c>
    </row>
    <row r="541" spans="1:6" x14ac:dyDescent="0.3">
      <c r="A541" t="s">
        <v>76</v>
      </c>
      <c r="B541">
        <v>80</v>
      </c>
      <c r="C541" s="5">
        <f t="shared" si="14"/>
        <v>1.3500000000000068E-3</v>
      </c>
      <c r="D541">
        <v>1.3395999999999999</v>
      </c>
      <c r="E541" s="1">
        <f t="shared" si="16"/>
        <v>0.75555555555555476</v>
      </c>
      <c r="F541" s="3">
        <v>46134</v>
      </c>
    </row>
    <row r="542" spans="1:6" x14ac:dyDescent="0.3">
      <c r="A542" t="s">
        <v>67</v>
      </c>
      <c r="B542">
        <v>100</v>
      </c>
      <c r="C542" s="5">
        <f t="shared" si="14"/>
        <v>6.9500000000000117E-4</v>
      </c>
      <c r="D542">
        <v>2.2271999999999998</v>
      </c>
      <c r="E542" s="8">
        <f t="shared" si="16"/>
        <v>0.75486111111111032</v>
      </c>
      <c r="F542" s="3">
        <v>46134</v>
      </c>
    </row>
    <row r="543" spans="1:6" x14ac:dyDescent="0.3">
      <c r="A543" t="s">
        <v>68</v>
      </c>
      <c r="B543">
        <v>100</v>
      </c>
      <c r="C543" s="5">
        <f t="shared" si="14"/>
        <v>1.6450000000000076E-3</v>
      </c>
      <c r="D543">
        <v>3.0512999999999999</v>
      </c>
      <c r="E543" s="1">
        <f t="shared" si="16"/>
        <v>0.75486111111111032</v>
      </c>
      <c r="F543" s="3">
        <v>46134</v>
      </c>
    </row>
    <row r="544" spans="1:6" x14ac:dyDescent="0.3">
      <c r="A544" t="s">
        <v>69</v>
      </c>
      <c r="B544">
        <v>100</v>
      </c>
      <c r="C544" s="5">
        <f t="shared" si="14"/>
        <v>1.6000000000000014E-3</v>
      </c>
      <c r="D544">
        <v>2.2646000000000002</v>
      </c>
      <c r="E544" s="1">
        <f t="shared" si="16"/>
        <v>0.75555555555555476</v>
      </c>
      <c r="F544" s="3">
        <v>46134</v>
      </c>
    </row>
    <row r="545" spans="1:6" x14ac:dyDescent="0.3">
      <c r="A545" t="s">
        <v>3</v>
      </c>
      <c r="B545">
        <v>100</v>
      </c>
      <c r="C545" s="2">
        <f t="shared" si="14"/>
        <v>1.0800000000000143E-3</v>
      </c>
      <c r="D545">
        <v>2.7063999999999999</v>
      </c>
      <c r="E545" s="1">
        <f t="shared" si="16"/>
        <v>0.76736111111111027</v>
      </c>
      <c r="F545" s="3">
        <v>46134</v>
      </c>
    </row>
    <row r="546" spans="1:6" x14ac:dyDescent="0.3">
      <c r="A546" t="s">
        <v>71</v>
      </c>
      <c r="B546">
        <v>100</v>
      </c>
      <c r="C546" s="5">
        <f t="shared" si="14"/>
        <v>7.4499999999999567E-4</v>
      </c>
      <c r="D546">
        <v>2.2593000000000001</v>
      </c>
      <c r="E546" s="1">
        <f t="shared" si="16"/>
        <v>0.76805555555555471</v>
      </c>
      <c r="F546" s="3">
        <v>46134</v>
      </c>
    </row>
    <row r="547" spans="1:6" x14ac:dyDescent="0.3">
      <c r="A547" t="s">
        <v>72</v>
      </c>
      <c r="B547">
        <v>100</v>
      </c>
      <c r="C547" s="5">
        <f t="shared" si="14"/>
        <v>1.3300000000000089E-3</v>
      </c>
      <c r="D547">
        <v>2.3592</v>
      </c>
      <c r="E547" s="1">
        <f t="shared" si="16"/>
        <v>0.76805555555555471</v>
      </c>
      <c r="F547" s="3">
        <v>46134</v>
      </c>
    </row>
    <row r="548" spans="1:6" x14ac:dyDescent="0.3">
      <c r="A548" t="s">
        <v>73</v>
      </c>
      <c r="B548">
        <v>100</v>
      </c>
      <c r="C548" s="5">
        <f t="shared" si="14"/>
        <v>6.0999999999999943E-4</v>
      </c>
      <c r="D548">
        <v>1.5136000000000001</v>
      </c>
      <c r="E548" s="1">
        <f t="shared" si="16"/>
        <v>0.76874999999999916</v>
      </c>
      <c r="F548" s="3">
        <v>46134</v>
      </c>
    </row>
    <row r="549" spans="1:6" x14ac:dyDescent="0.3">
      <c r="A549" t="s">
        <v>74</v>
      </c>
      <c r="B549">
        <v>100</v>
      </c>
      <c r="C549" s="5">
        <f t="shared" si="14"/>
        <v>8.750000000000036E-4</v>
      </c>
      <c r="D549">
        <v>2.0937999999999999</v>
      </c>
      <c r="E549" s="1">
        <f t="shared" si="16"/>
        <v>0.76874999999999916</v>
      </c>
      <c r="F549" s="3">
        <v>46134</v>
      </c>
    </row>
    <row r="550" spans="1:6" x14ac:dyDescent="0.3">
      <c r="A550" t="s">
        <v>75</v>
      </c>
      <c r="B550">
        <v>100</v>
      </c>
      <c r="C550" s="5">
        <f t="shared" si="14"/>
        <v>1.2099999999999999E-3</v>
      </c>
      <c r="D550">
        <v>1.5293000000000001</v>
      </c>
      <c r="E550" s="1">
        <f t="shared" si="16"/>
        <v>0.76874999999999916</v>
      </c>
      <c r="F550" s="3">
        <v>46134</v>
      </c>
    </row>
    <row r="551" spans="1:6" x14ac:dyDescent="0.3">
      <c r="A551" t="s">
        <v>76</v>
      </c>
      <c r="B551">
        <v>100</v>
      </c>
      <c r="C551" s="5">
        <f t="shared" si="14"/>
        <v>1.3399999999999968E-3</v>
      </c>
      <c r="D551">
        <v>1.3128</v>
      </c>
      <c r="E551" s="1">
        <f t="shared" si="16"/>
        <v>0.7694444444444436</v>
      </c>
      <c r="F551" s="3">
        <v>46134</v>
      </c>
    </row>
    <row r="552" spans="1:6" x14ac:dyDescent="0.3">
      <c r="A552" t="s">
        <v>67</v>
      </c>
      <c r="B552">
        <v>120</v>
      </c>
      <c r="C552" s="5">
        <f t="shared" si="14"/>
        <v>7.4999999999998397E-4</v>
      </c>
      <c r="D552">
        <v>2.2122000000000002</v>
      </c>
      <c r="E552" s="8">
        <f t="shared" si="16"/>
        <v>0.76874999999999916</v>
      </c>
      <c r="F552" s="3">
        <v>46134</v>
      </c>
    </row>
    <row r="553" spans="1:6" x14ac:dyDescent="0.3">
      <c r="A553" t="s">
        <v>68</v>
      </c>
      <c r="B553">
        <v>120</v>
      </c>
      <c r="C553" s="5">
        <f t="shared" si="14"/>
        <v>1.5900000000000024E-3</v>
      </c>
      <c r="D553">
        <v>3.0194999999999999</v>
      </c>
      <c r="E553" s="1">
        <f t="shared" si="16"/>
        <v>0.76874999999999916</v>
      </c>
      <c r="F553" s="3">
        <v>46134</v>
      </c>
    </row>
    <row r="554" spans="1:6" x14ac:dyDescent="0.3">
      <c r="A554" t="s">
        <v>69</v>
      </c>
      <c r="B554">
        <v>120</v>
      </c>
      <c r="C554" s="5">
        <f t="shared" si="14"/>
        <v>7.4500000000001789E-4</v>
      </c>
      <c r="D554">
        <v>2.2496999999999998</v>
      </c>
      <c r="E554" s="1">
        <f t="shared" si="16"/>
        <v>0.7694444444444436</v>
      </c>
      <c r="F554" s="3">
        <v>46134</v>
      </c>
    </row>
    <row r="555" spans="1:6" x14ac:dyDescent="0.3">
      <c r="A555" t="s">
        <v>3</v>
      </c>
      <c r="B555">
        <v>120</v>
      </c>
      <c r="C555" s="2">
        <f t="shared" si="14"/>
        <v>9.7499999999999258E-4</v>
      </c>
      <c r="D555">
        <v>2.6869000000000001</v>
      </c>
      <c r="E555" s="1">
        <f t="shared" si="16"/>
        <v>0.78124999999999911</v>
      </c>
      <c r="F555" s="3">
        <v>46134</v>
      </c>
    </row>
    <row r="556" spans="1:6" x14ac:dyDescent="0.3">
      <c r="A556" t="s">
        <v>71</v>
      </c>
      <c r="B556">
        <v>120</v>
      </c>
      <c r="C556" s="5">
        <f t="shared" si="14"/>
        <v>6.5500000000000562E-4</v>
      </c>
      <c r="D556">
        <v>2.2462</v>
      </c>
      <c r="E556" s="1">
        <f t="shared" si="16"/>
        <v>0.78194444444444355</v>
      </c>
      <c r="F556" s="3">
        <v>46134</v>
      </c>
    </row>
    <row r="557" spans="1:6" x14ac:dyDescent="0.3">
      <c r="A557" t="s">
        <v>72</v>
      </c>
      <c r="B557">
        <v>120</v>
      </c>
      <c r="C557" s="5">
        <f t="shared" si="14"/>
        <v>1.3449999999999962E-3</v>
      </c>
      <c r="D557">
        <v>2.3323</v>
      </c>
      <c r="E557" s="1">
        <f t="shared" si="16"/>
        <v>0.78194444444444355</v>
      </c>
      <c r="F557" s="3">
        <v>46134</v>
      </c>
    </row>
    <row r="558" spans="1:6" x14ac:dyDescent="0.3">
      <c r="A558" t="s">
        <v>73</v>
      </c>
      <c r="B558">
        <v>120</v>
      </c>
      <c r="C558" s="5">
        <f t="shared" si="14"/>
        <v>6.149999999999989E-4</v>
      </c>
      <c r="D558">
        <v>1.5013000000000001</v>
      </c>
      <c r="E558" s="1">
        <f t="shared" si="16"/>
        <v>0.782638888888888</v>
      </c>
      <c r="F558" s="3">
        <v>46134</v>
      </c>
    </row>
    <row r="559" spans="1:6" x14ac:dyDescent="0.3">
      <c r="A559" t="s">
        <v>74</v>
      </c>
      <c r="B559">
        <v>120</v>
      </c>
      <c r="C559" s="5">
        <f t="shared" si="14"/>
        <v>7.6000000000000514E-4</v>
      </c>
      <c r="D559">
        <v>2.0785999999999998</v>
      </c>
      <c r="E559" s="1">
        <f t="shared" si="16"/>
        <v>0.782638888888888</v>
      </c>
      <c r="F559" s="3">
        <v>46134</v>
      </c>
    </row>
    <row r="560" spans="1:6" x14ac:dyDescent="0.3">
      <c r="A560" t="s">
        <v>75</v>
      </c>
      <c r="B560">
        <v>120</v>
      </c>
      <c r="C560" s="5">
        <f t="shared" si="14"/>
        <v>1.090000000000002E-3</v>
      </c>
      <c r="D560">
        <v>1.5075000000000001</v>
      </c>
      <c r="E560" s="1">
        <f t="shared" si="16"/>
        <v>0.782638888888888</v>
      </c>
      <c r="F560" s="3">
        <v>46134</v>
      </c>
    </row>
    <row r="561" spans="1:6" x14ac:dyDescent="0.3">
      <c r="A561" t="s">
        <v>76</v>
      </c>
      <c r="B561">
        <v>120</v>
      </c>
      <c r="C561" s="5">
        <f t="shared" si="14"/>
        <v>1.2299999999999978E-3</v>
      </c>
      <c r="D561">
        <v>1.2882</v>
      </c>
      <c r="E561" s="1">
        <f t="shared" si="16"/>
        <v>0.78333333333333244</v>
      </c>
      <c r="F561" s="3">
        <v>46134</v>
      </c>
    </row>
    <row r="562" spans="1:6" x14ac:dyDescent="0.3">
      <c r="A562" t="s">
        <v>67</v>
      </c>
      <c r="B562">
        <v>140</v>
      </c>
      <c r="C562" s="5">
        <f t="shared" si="14"/>
        <v>8.0999999999999963E-4</v>
      </c>
      <c r="D562">
        <v>2.1960000000000002</v>
      </c>
      <c r="E562" s="8">
        <f t="shared" si="16"/>
        <v>0.782638888888888</v>
      </c>
      <c r="F562" s="3">
        <v>46134</v>
      </c>
    </row>
    <row r="563" spans="1:6" x14ac:dyDescent="0.3">
      <c r="A563" t="s">
        <v>68</v>
      </c>
      <c r="B563">
        <v>140</v>
      </c>
      <c r="C563" s="5">
        <f t="shared" si="14"/>
        <v>1.4100000000000002E-3</v>
      </c>
      <c r="D563">
        <v>2.9912999999999998</v>
      </c>
      <c r="E563" s="1">
        <f t="shared" si="16"/>
        <v>0.782638888888888</v>
      </c>
      <c r="F563" s="3">
        <v>46134</v>
      </c>
    </row>
    <row r="564" spans="1:6" x14ac:dyDescent="0.3">
      <c r="A564" t="s">
        <v>69</v>
      </c>
      <c r="B564">
        <v>140</v>
      </c>
      <c r="C564" s="5">
        <f t="shared" si="14"/>
        <v>6.3999999999999615E-4</v>
      </c>
      <c r="D564">
        <v>2.2368999999999999</v>
      </c>
      <c r="E564" s="1">
        <f t="shared" si="16"/>
        <v>0.78333333333333244</v>
      </c>
      <c r="F564" s="3">
        <v>46134</v>
      </c>
    </row>
    <row r="565" spans="1:6" x14ac:dyDescent="0.3">
      <c r="A565" t="s">
        <v>3</v>
      </c>
      <c r="B565">
        <v>140</v>
      </c>
      <c r="C565" s="2">
        <f t="shared" si="14"/>
        <v>7.7000000000000397E-4</v>
      </c>
      <c r="D565">
        <v>2.6715</v>
      </c>
      <c r="E565" s="1">
        <f t="shared" si="16"/>
        <v>0.79513888888888795</v>
      </c>
      <c r="F565" s="3">
        <v>46134</v>
      </c>
    </row>
    <row r="566" spans="1:6" x14ac:dyDescent="0.3">
      <c r="A566" t="s">
        <v>71</v>
      </c>
      <c r="B566">
        <v>140</v>
      </c>
      <c r="C566" s="5">
        <f t="shared" si="14"/>
        <v>5.7499999999999218E-4</v>
      </c>
      <c r="D566">
        <v>2.2347000000000001</v>
      </c>
      <c r="E566" s="1">
        <f t="shared" si="16"/>
        <v>0.79583333333333239</v>
      </c>
      <c r="F566" s="3">
        <v>46134</v>
      </c>
    </row>
    <row r="567" spans="1:6" x14ac:dyDescent="0.3">
      <c r="A567" t="s">
        <v>72</v>
      </c>
      <c r="B567">
        <v>140</v>
      </c>
      <c r="C567" s="5">
        <f t="shared" ref="C567:C630" si="17">(D557-D567)/20</f>
        <v>1.3349999999999972E-3</v>
      </c>
      <c r="D567">
        <v>2.3056000000000001</v>
      </c>
      <c r="E567" s="1">
        <f t="shared" si="16"/>
        <v>0.79583333333333239</v>
      </c>
      <c r="F567" s="3">
        <v>46134</v>
      </c>
    </row>
    <row r="568" spans="1:6" x14ac:dyDescent="0.3">
      <c r="A568" t="s">
        <v>73</v>
      </c>
      <c r="B568">
        <v>140</v>
      </c>
      <c r="C568" s="5">
        <f t="shared" si="17"/>
        <v>5.6500000000000441E-4</v>
      </c>
      <c r="D568">
        <v>1.49</v>
      </c>
      <c r="E568" s="1">
        <f t="shared" si="16"/>
        <v>0.79652777777777684</v>
      </c>
      <c r="F568" s="3">
        <v>46134</v>
      </c>
    </row>
    <row r="569" spans="1:6" x14ac:dyDescent="0.3">
      <c r="A569" t="s">
        <v>74</v>
      </c>
      <c r="B569">
        <v>140</v>
      </c>
      <c r="C569" s="5">
        <f t="shared" si="17"/>
        <v>8.2999999999999741E-4</v>
      </c>
      <c r="D569">
        <v>2.0619999999999998</v>
      </c>
      <c r="E569" s="1">
        <f t="shared" si="16"/>
        <v>0.79652777777777684</v>
      </c>
      <c r="F569" s="3">
        <v>46134</v>
      </c>
    </row>
    <row r="570" spans="1:6" x14ac:dyDescent="0.3">
      <c r="A570" t="s">
        <v>75</v>
      </c>
      <c r="B570">
        <v>140</v>
      </c>
      <c r="C570" s="5">
        <f t="shared" si="17"/>
        <v>1.0800000000000033E-3</v>
      </c>
      <c r="D570">
        <v>1.4859</v>
      </c>
      <c r="E570" s="1">
        <f t="shared" si="16"/>
        <v>0.79652777777777684</v>
      </c>
      <c r="F570" s="3">
        <v>46134</v>
      </c>
    </row>
    <row r="571" spans="1:6" x14ac:dyDescent="0.3">
      <c r="A571" t="s">
        <v>76</v>
      </c>
      <c r="B571">
        <v>140</v>
      </c>
      <c r="C571" s="5">
        <f t="shared" si="17"/>
        <v>1.1800000000000033E-3</v>
      </c>
      <c r="D571">
        <v>1.2645999999999999</v>
      </c>
      <c r="E571" s="1">
        <f t="shared" si="16"/>
        <v>0.79722222222222128</v>
      </c>
      <c r="F571" s="3">
        <v>46134</v>
      </c>
    </row>
    <row r="572" spans="1:6" x14ac:dyDescent="0.3">
      <c r="A572" t="s">
        <v>67</v>
      </c>
      <c r="B572">
        <v>160</v>
      </c>
      <c r="C572" s="5">
        <f t="shared" si="17"/>
        <v>6.5000000000001721E-4</v>
      </c>
      <c r="D572">
        <v>2.1829999999999998</v>
      </c>
      <c r="E572" s="8">
        <f t="shared" si="16"/>
        <v>0.79652777777777684</v>
      </c>
      <c r="F572" s="3">
        <v>46134</v>
      </c>
    </row>
    <row r="573" spans="1:6" x14ac:dyDescent="0.3">
      <c r="A573" t="s">
        <v>68</v>
      </c>
      <c r="B573">
        <v>160</v>
      </c>
      <c r="C573" s="5">
        <f t="shared" si="17"/>
        <v>1.3499999999999845E-3</v>
      </c>
      <c r="D573">
        <v>2.9643000000000002</v>
      </c>
      <c r="E573" s="1">
        <f t="shared" si="16"/>
        <v>0.79652777777777684</v>
      </c>
      <c r="F573" s="3">
        <v>46134</v>
      </c>
    </row>
    <row r="574" spans="1:6" x14ac:dyDescent="0.3">
      <c r="A574" t="s">
        <v>69</v>
      </c>
      <c r="B574">
        <v>160</v>
      </c>
      <c r="C574" s="5">
        <f t="shared" si="17"/>
        <v>6.6999999999999287E-4</v>
      </c>
      <c r="D574">
        <v>2.2235</v>
      </c>
      <c r="E574" s="1">
        <f t="shared" si="16"/>
        <v>0.79722222222222128</v>
      </c>
      <c r="F574" s="3">
        <v>46134</v>
      </c>
    </row>
    <row r="575" spans="1:6" x14ac:dyDescent="0.3">
      <c r="A575" t="s">
        <v>3</v>
      </c>
      <c r="B575">
        <v>160</v>
      </c>
      <c r="C575" s="2">
        <f t="shared" si="17"/>
        <v>8.8500000000000243E-4</v>
      </c>
      <c r="D575">
        <v>2.6537999999999999</v>
      </c>
      <c r="E575" s="1">
        <f t="shared" si="16"/>
        <v>0.80902777777777679</v>
      </c>
      <c r="F575" s="3">
        <v>46134</v>
      </c>
    </row>
    <row r="576" spans="1:6" x14ac:dyDescent="0.3">
      <c r="A576" t="s">
        <v>71</v>
      </c>
      <c r="B576">
        <v>160</v>
      </c>
      <c r="C576" s="5">
        <f t="shared" si="17"/>
        <v>6.250000000000089E-4</v>
      </c>
      <c r="D576">
        <v>2.2222</v>
      </c>
      <c r="E576" s="1">
        <f t="shared" ref="E576:E631" si="18">E566+20/1440</f>
        <v>0.80972222222222123</v>
      </c>
      <c r="F576" s="3">
        <v>46134</v>
      </c>
    </row>
    <row r="577" spans="1:6" x14ac:dyDescent="0.3">
      <c r="A577" t="s">
        <v>72</v>
      </c>
      <c r="B577">
        <v>160</v>
      </c>
      <c r="C577" s="5">
        <f t="shared" si="17"/>
        <v>1.3300000000000089E-3</v>
      </c>
      <c r="D577">
        <v>2.2789999999999999</v>
      </c>
      <c r="E577" s="1">
        <f t="shared" si="18"/>
        <v>0.80972222222222123</v>
      </c>
      <c r="F577" s="3">
        <v>46134</v>
      </c>
    </row>
    <row r="578" spans="1:6" x14ac:dyDescent="0.3">
      <c r="A578" t="s">
        <v>73</v>
      </c>
      <c r="B578">
        <v>160</v>
      </c>
      <c r="C578" s="5">
        <f t="shared" si="17"/>
        <v>5.9000000000000166E-4</v>
      </c>
      <c r="D578">
        <v>1.4782</v>
      </c>
      <c r="E578" s="1">
        <f t="shared" si="18"/>
        <v>0.81041666666666567</v>
      </c>
      <c r="F578" s="3">
        <v>46134</v>
      </c>
    </row>
    <row r="579" spans="1:6" x14ac:dyDescent="0.3">
      <c r="A579" t="s">
        <v>74</v>
      </c>
      <c r="B579">
        <v>160</v>
      </c>
      <c r="C579" s="5">
        <f t="shared" si="17"/>
        <v>7.3999999999998514E-4</v>
      </c>
      <c r="D579">
        <v>2.0472000000000001</v>
      </c>
      <c r="E579" s="1">
        <f t="shared" si="18"/>
        <v>0.81041666666666567</v>
      </c>
      <c r="F579" s="3">
        <v>46134</v>
      </c>
    </row>
    <row r="580" spans="1:6" x14ac:dyDescent="0.3">
      <c r="A580" t="s">
        <v>75</v>
      </c>
      <c r="B580">
        <v>160</v>
      </c>
      <c r="C580" s="5">
        <f t="shared" si="17"/>
        <v>1.1449999999999961E-3</v>
      </c>
      <c r="D580">
        <v>1.4630000000000001</v>
      </c>
      <c r="E580" s="1">
        <f t="shared" si="18"/>
        <v>0.81041666666666567</v>
      </c>
      <c r="F580" s="3">
        <v>46134</v>
      </c>
    </row>
    <row r="581" spans="1:6" x14ac:dyDescent="0.3">
      <c r="A581" t="s">
        <v>76</v>
      </c>
      <c r="B581">
        <v>160</v>
      </c>
      <c r="C581" s="5">
        <f t="shared" si="17"/>
        <v>1.1649999999999937E-3</v>
      </c>
      <c r="D581">
        <v>1.2413000000000001</v>
      </c>
      <c r="E581" s="1">
        <f t="shared" si="18"/>
        <v>0.81111111111111012</v>
      </c>
      <c r="F581" s="3">
        <v>46134</v>
      </c>
    </row>
    <row r="582" spans="1:6" x14ac:dyDescent="0.3">
      <c r="A582" t="s">
        <v>67</v>
      </c>
      <c r="B582">
        <v>180</v>
      </c>
      <c r="C582" s="5">
        <f t="shared" si="17"/>
        <v>6.6999999999999287E-4</v>
      </c>
      <c r="D582">
        <v>2.1696</v>
      </c>
      <c r="E582" s="8">
        <f t="shared" si="18"/>
        <v>0.81041666666666567</v>
      </c>
      <c r="F582" s="3">
        <v>46134</v>
      </c>
    </row>
    <row r="583" spans="1:6" x14ac:dyDescent="0.3">
      <c r="A583" t="s">
        <v>68</v>
      </c>
      <c r="B583">
        <v>180</v>
      </c>
      <c r="C583" s="5">
        <f t="shared" si="17"/>
        <v>1.4150000000000107E-3</v>
      </c>
      <c r="D583">
        <v>2.9359999999999999</v>
      </c>
      <c r="E583" s="1">
        <f t="shared" si="18"/>
        <v>0.81041666666666567</v>
      </c>
      <c r="F583" s="3">
        <v>46134</v>
      </c>
    </row>
    <row r="584" spans="1:6" x14ac:dyDescent="0.3">
      <c r="A584" t="s">
        <v>69</v>
      </c>
      <c r="B584">
        <v>180</v>
      </c>
      <c r="C584" s="5">
        <f t="shared" si="17"/>
        <v>5.7000000000000388E-4</v>
      </c>
      <c r="D584">
        <v>2.2121</v>
      </c>
      <c r="E584" s="1">
        <f t="shared" si="18"/>
        <v>0.81111111111111012</v>
      </c>
      <c r="F584" s="3">
        <v>46134</v>
      </c>
    </row>
    <row r="585" spans="1:6" x14ac:dyDescent="0.3">
      <c r="A585" t="s">
        <v>3</v>
      </c>
      <c r="B585">
        <v>180</v>
      </c>
      <c r="C585" s="2">
        <f t="shared" si="17"/>
        <v>7.4000000000000736E-4</v>
      </c>
      <c r="D585">
        <v>2.6389999999999998</v>
      </c>
      <c r="E585" s="1">
        <f t="shared" si="18"/>
        <v>0.82291666666666563</v>
      </c>
      <c r="F585" s="3">
        <v>46134</v>
      </c>
    </row>
    <row r="586" spans="1:6" x14ac:dyDescent="0.3">
      <c r="A586" t="s">
        <v>71</v>
      </c>
      <c r="B586">
        <v>180</v>
      </c>
      <c r="C586" s="5">
        <f t="shared" si="17"/>
        <v>5.0499999999999992E-4</v>
      </c>
      <c r="D586">
        <v>2.2121</v>
      </c>
      <c r="E586" s="1">
        <f t="shared" si="18"/>
        <v>0.82361111111111007</v>
      </c>
      <c r="F586" s="3">
        <v>46134</v>
      </c>
    </row>
    <row r="587" spans="1:6" x14ac:dyDescent="0.3">
      <c r="A587" t="s">
        <v>72</v>
      </c>
      <c r="B587">
        <v>180</v>
      </c>
      <c r="C587" s="5">
        <f t="shared" si="17"/>
        <v>1.2149999999999882E-3</v>
      </c>
      <c r="D587">
        <v>2.2547000000000001</v>
      </c>
      <c r="E587" s="1">
        <f t="shared" si="18"/>
        <v>0.82361111111111007</v>
      </c>
      <c r="F587" s="3">
        <v>46134</v>
      </c>
    </row>
    <row r="588" spans="1:6" x14ac:dyDescent="0.3">
      <c r="A588" t="s">
        <v>73</v>
      </c>
      <c r="B588">
        <v>180</v>
      </c>
      <c r="C588" s="5">
        <f t="shared" si="17"/>
        <v>5.1999999999999822E-4</v>
      </c>
      <c r="D588">
        <v>1.4678</v>
      </c>
      <c r="E588" s="1">
        <f t="shared" si="18"/>
        <v>0.82430555555555451</v>
      </c>
      <c r="F588" s="3">
        <v>46134</v>
      </c>
    </row>
    <row r="589" spans="1:6" x14ac:dyDescent="0.3">
      <c r="A589" t="s">
        <v>74</v>
      </c>
      <c r="B589">
        <v>180</v>
      </c>
      <c r="C589" s="5">
        <f t="shared" si="17"/>
        <v>6.9500000000000117E-4</v>
      </c>
      <c r="D589">
        <v>2.0333000000000001</v>
      </c>
      <c r="E589" s="1">
        <f t="shared" si="18"/>
        <v>0.82430555555555451</v>
      </c>
      <c r="F589" s="3">
        <v>46134</v>
      </c>
    </row>
    <row r="590" spans="1:6" x14ac:dyDescent="0.3">
      <c r="A590" t="s">
        <v>75</v>
      </c>
      <c r="B590">
        <v>180</v>
      </c>
      <c r="C590" s="5">
        <f t="shared" si="17"/>
        <v>1.0400000000000075E-3</v>
      </c>
      <c r="D590">
        <v>1.4421999999999999</v>
      </c>
      <c r="E590" s="1">
        <f t="shared" si="18"/>
        <v>0.82430555555555451</v>
      </c>
      <c r="F590" s="3">
        <v>46134</v>
      </c>
    </row>
    <row r="591" spans="1:6" x14ac:dyDescent="0.3">
      <c r="A591" t="s">
        <v>76</v>
      </c>
      <c r="B591">
        <v>180</v>
      </c>
      <c r="C591" s="5">
        <f t="shared" si="17"/>
        <v>1.1550000000000061E-3</v>
      </c>
      <c r="D591">
        <v>1.2181999999999999</v>
      </c>
      <c r="E591" s="1">
        <f t="shared" si="18"/>
        <v>0.82499999999999896</v>
      </c>
      <c r="F591" s="3">
        <v>46134</v>
      </c>
    </row>
    <row r="592" spans="1:6" x14ac:dyDescent="0.3">
      <c r="A592" t="s">
        <v>67</v>
      </c>
      <c r="B592">
        <v>200</v>
      </c>
      <c r="C592" s="5">
        <f t="shared" si="17"/>
        <v>7.1499999999999895E-4</v>
      </c>
      <c r="D592">
        <v>2.1553</v>
      </c>
      <c r="E592" s="8">
        <f t="shared" si="18"/>
        <v>0.82430555555555451</v>
      </c>
      <c r="F592" s="3">
        <v>46134</v>
      </c>
    </row>
    <row r="593" spans="1:6" x14ac:dyDescent="0.3">
      <c r="A593" t="s">
        <v>68</v>
      </c>
      <c r="B593">
        <v>200</v>
      </c>
      <c r="C593" s="5">
        <f t="shared" si="17"/>
        <v>1.4499999999999958E-3</v>
      </c>
      <c r="D593">
        <v>2.907</v>
      </c>
      <c r="E593" s="1">
        <f t="shared" si="18"/>
        <v>0.82430555555555451</v>
      </c>
      <c r="F593" s="3">
        <v>46134</v>
      </c>
    </row>
    <row r="594" spans="1:6" x14ac:dyDescent="0.3">
      <c r="A594" t="s">
        <v>69</v>
      </c>
      <c r="B594">
        <v>200</v>
      </c>
      <c r="C594" s="5">
        <f t="shared" si="17"/>
        <v>6.750000000000034E-4</v>
      </c>
      <c r="D594">
        <v>2.1985999999999999</v>
      </c>
      <c r="E594" s="1">
        <f t="shared" si="18"/>
        <v>0.82499999999999896</v>
      </c>
      <c r="F594" s="3">
        <v>46134</v>
      </c>
    </row>
    <row r="595" spans="1:6" x14ac:dyDescent="0.3">
      <c r="A595" t="s">
        <v>3</v>
      </c>
      <c r="B595">
        <v>200</v>
      </c>
      <c r="C595" s="2">
        <f t="shared" si="17"/>
        <v>8.7499999999998137E-4</v>
      </c>
      <c r="D595">
        <v>2.6215000000000002</v>
      </c>
      <c r="E595" s="1">
        <f t="shared" si="18"/>
        <v>0.83680555555555447</v>
      </c>
      <c r="F595" s="3">
        <v>46134</v>
      </c>
    </row>
    <row r="596" spans="1:6" x14ac:dyDescent="0.3">
      <c r="A596" t="s">
        <v>71</v>
      </c>
      <c r="B596">
        <v>200</v>
      </c>
      <c r="C596" s="5">
        <f t="shared" si="17"/>
        <v>6.049999999999889E-4</v>
      </c>
      <c r="D596">
        <v>2.2000000000000002</v>
      </c>
      <c r="E596" s="1">
        <f t="shared" si="18"/>
        <v>0.83749999999999891</v>
      </c>
      <c r="F596" s="3">
        <v>46134</v>
      </c>
    </row>
    <row r="597" spans="1:6" x14ac:dyDescent="0.3">
      <c r="A597" t="s">
        <v>72</v>
      </c>
      <c r="B597">
        <v>200</v>
      </c>
      <c r="C597" s="5">
        <f t="shared" si="17"/>
        <v>1.3100000000000112E-3</v>
      </c>
      <c r="D597">
        <v>2.2284999999999999</v>
      </c>
      <c r="E597" s="1">
        <f t="shared" si="18"/>
        <v>0.83749999999999891</v>
      </c>
      <c r="F597" s="3">
        <v>46134</v>
      </c>
    </row>
    <row r="598" spans="1:6" x14ac:dyDescent="0.3">
      <c r="A598" t="s">
        <v>73</v>
      </c>
      <c r="B598">
        <v>200</v>
      </c>
      <c r="C598" s="5">
        <f t="shared" si="17"/>
        <v>5.7000000000000388E-4</v>
      </c>
      <c r="D598">
        <v>1.4563999999999999</v>
      </c>
      <c r="E598" s="1">
        <f t="shared" si="18"/>
        <v>0.83819444444444335</v>
      </c>
      <c r="F598" s="3">
        <v>46134</v>
      </c>
    </row>
    <row r="599" spans="1:6" x14ac:dyDescent="0.3">
      <c r="A599" t="s">
        <v>74</v>
      </c>
      <c r="B599">
        <v>200</v>
      </c>
      <c r="C599" s="5">
        <f t="shared" si="17"/>
        <v>7.8000000000000291E-4</v>
      </c>
      <c r="D599">
        <v>2.0177</v>
      </c>
      <c r="E599" s="1">
        <f t="shared" si="18"/>
        <v>0.83819444444444335</v>
      </c>
      <c r="F599" s="3">
        <v>46134</v>
      </c>
    </row>
    <row r="600" spans="1:6" x14ac:dyDescent="0.3">
      <c r="A600" t="s">
        <v>75</v>
      </c>
      <c r="B600">
        <v>200</v>
      </c>
      <c r="C600" s="5">
        <f t="shared" si="17"/>
        <v>1.0950000000000016E-3</v>
      </c>
      <c r="D600">
        <v>1.4202999999999999</v>
      </c>
      <c r="E600" s="1">
        <f t="shared" si="18"/>
        <v>0.83819444444444335</v>
      </c>
      <c r="F600" s="3">
        <v>46134</v>
      </c>
    </row>
    <row r="601" spans="1:6" x14ac:dyDescent="0.3">
      <c r="A601" t="s">
        <v>76</v>
      </c>
      <c r="B601">
        <v>200</v>
      </c>
      <c r="C601" s="5">
        <f t="shared" si="17"/>
        <v>1.0399999999999964E-3</v>
      </c>
      <c r="D601">
        <v>1.1974</v>
      </c>
      <c r="E601" s="1">
        <f t="shared" si="18"/>
        <v>0.8388888888888878</v>
      </c>
      <c r="F601" s="3">
        <v>46134</v>
      </c>
    </row>
    <row r="602" spans="1:6" x14ac:dyDescent="0.3">
      <c r="A602" t="s">
        <v>67</v>
      </c>
      <c r="B602">
        <v>220</v>
      </c>
      <c r="C602" s="2">
        <f t="shared" si="17"/>
        <v>6.5500000000000562E-4</v>
      </c>
      <c r="D602">
        <v>2.1421999999999999</v>
      </c>
      <c r="E602" s="8">
        <f t="shared" si="18"/>
        <v>0.83819444444444335</v>
      </c>
      <c r="F602" s="3">
        <v>46134</v>
      </c>
    </row>
    <row r="603" spans="1:6" x14ac:dyDescent="0.3">
      <c r="A603" t="s">
        <v>68</v>
      </c>
      <c r="B603">
        <v>220</v>
      </c>
      <c r="C603" s="5">
        <f t="shared" si="17"/>
        <v>1.3800000000000034E-3</v>
      </c>
      <c r="D603">
        <v>2.8794</v>
      </c>
      <c r="E603" s="1">
        <f t="shared" si="18"/>
        <v>0.83819444444444335</v>
      </c>
      <c r="F603" s="3">
        <v>46134</v>
      </c>
    </row>
    <row r="604" spans="1:6" x14ac:dyDescent="0.3">
      <c r="A604" t="s">
        <v>69</v>
      </c>
      <c r="B604">
        <v>220</v>
      </c>
      <c r="C604" s="2">
        <f t="shared" si="17"/>
        <v>6.6999999999999287E-4</v>
      </c>
      <c r="D604">
        <v>2.1852</v>
      </c>
      <c r="E604" s="1">
        <f t="shared" si="18"/>
        <v>0.8388888888888878</v>
      </c>
      <c r="F604" s="3">
        <v>46134</v>
      </c>
    </row>
    <row r="605" spans="1:6" x14ac:dyDescent="0.3">
      <c r="A605" t="s">
        <v>3</v>
      </c>
      <c r="B605">
        <v>220</v>
      </c>
      <c r="C605" s="2">
        <f t="shared" si="17"/>
        <v>7.9000000000000186E-4</v>
      </c>
      <c r="D605">
        <v>2.6057000000000001</v>
      </c>
      <c r="E605" s="1">
        <f t="shared" si="18"/>
        <v>0.85069444444444331</v>
      </c>
      <c r="F605" s="3">
        <v>46134</v>
      </c>
    </row>
    <row r="606" spans="1:6" x14ac:dyDescent="0.3">
      <c r="A606" t="s">
        <v>71</v>
      </c>
      <c r="B606">
        <v>220</v>
      </c>
      <c r="C606" s="5">
        <f t="shared" si="17"/>
        <v>5.7500000000001441E-4</v>
      </c>
      <c r="D606">
        <v>2.1884999999999999</v>
      </c>
      <c r="E606" s="1">
        <f t="shared" si="18"/>
        <v>0.85138888888888775</v>
      </c>
      <c r="F606" s="3">
        <v>46134</v>
      </c>
    </row>
    <row r="607" spans="1:6" x14ac:dyDescent="0.3">
      <c r="A607" t="s">
        <v>72</v>
      </c>
      <c r="B607">
        <v>220</v>
      </c>
      <c r="C607" s="5">
        <f t="shared" si="17"/>
        <v>1.2049999999999895E-3</v>
      </c>
      <c r="D607">
        <v>2.2044000000000001</v>
      </c>
      <c r="E607" s="1">
        <f t="shared" si="18"/>
        <v>0.85138888888888775</v>
      </c>
      <c r="F607" s="3">
        <v>46134</v>
      </c>
    </row>
    <row r="608" spans="1:6" x14ac:dyDescent="0.3">
      <c r="A608" t="s">
        <v>73</v>
      </c>
      <c r="B608">
        <v>220</v>
      </c>
      <c r="C608" s="5">
        <f t="shared" si="17"/>
        <v>5.2999999999999716E-4</v>
      </c>
      <c r="D608">
        <v>1.4458</v>
      </c>
      <c r="E608" s="1">
        <f t="shared" si="18"/>
        <v>0.85208333333333219</v>
      </c>
      <c r="F608" s="3">
        <v>46134</v>
      </c>
    </row>
    <row r="609" spans="1:6" x14ac:dyDescent="0.3">
      <c r="A609" t="s">
        <v>74</v>
      </c>
      <c r="B609">
        <v>220</v>
      </c>
      <c r="C609" s="5">
        <f t="shared" si="17"/>
        <v>6.9000000000001287E-4</v>
      </c>
      <c r="D609">
        <v>2.0038999999999998</v>
      </c>
      <c r="E609" s="1">
        <f t="shared" si="18"/>
        <v>0.85208333333333219</v>
      </c>
      <c r="F609" s="3">
        <v>46134</v>
      </c>
    </row>
    <row r="610" spans="1:6" x14ac:dyDescent="0.3">
      <c r="A610" t="s">
        <v>75</v>
      </c>
      <c r="B610">
        <v>220</v>
      </c>
      <c r="C610" s="5">
        <f t="shared" si="17"/>
        <v>1.0549999999999947E-3</v>
      </c>
      <c r="D610">
        <v>1.3992</v>
      </c>
      <c r="E610" s="1">
        <f t="shared" si="18"/>
        <v>0.85208333333333219</v>
      </c>
      <c r="F610" s="3">
        <v>46134</v>
      </c>
    </row>
    <row r="611" spans="1:6" x14ac:dyDescent="0.3">
      <c r="A611" t="s">
        <v>76</v>
      </c>
      <c r="B611">
        <v>220</v>
      </c>
      <c r="C611" s="5">
        <f t="shared" si="17"/>
        <v>1.0850000000000026E-3</v>
      </c>
      <c r="D611">
        <v>1.1757</v>
      </c>
      <c r="E611" s="1">
        <f t="shared" si="18"/>
        <v>0.85277777777777664</v>
      </c>
      <c r="F611" s="3">
        <v>46134</v>
      </c>
    </row>
    <row r="612" spans="1:6" x14ac:dyDescent="0.3">
      <c r="A612" t="s">
        <v>67</v>
      </c>
      <c r="B612">
        <v>240</v>
      </c>
      <c r="C612" s="2">
        <f t="shared" si="17"/>
        <v>7.1499999999999895E-4</v>
      </c>
      <c r="D612">
        <v>2.1278999999999999</v>
      </c>
      <c r="E612" s="8">
        <f t="shared" si="18"/>
        <v>0.85208333333333219</v>
      </c>
      <c r="F612" s="3">
        <v>46134</v>
      </c>
    </row>
    <row r="613" spans="1:6" x14ac:dyDescent="0.3">
      <c r="A613" t="s">
        <v>68</v>
      </c>
      <c r="B613">
        <v>240</v>
      </c>
      <c r="C613" s="2">
        <f t="shared" si="17"/>
        <v>1.364999999999994E-3</v>
      </c>
      <c r="D613">
        <v>2.8521000000000001</v>
      </c>
      <c r="E613" s="1">
        <f t="shared" si="18"/>
        <v>0.85208333333333219</v>
      </c>
      <c r="F613" s="3">
        <v>46134</v>
      </c>
    </row>
    <row r="614" spans="1:6" x14ac:dyDescent="0.3">
      <c r="A614" t="s">
        <v>69</v>
      </c>
      <c r="B614">
        <v>240</v>
      </c>
      <c r="C614" s="2">
        <f t="shared" si="17"/>
        <v>6.3999999999999615E-4</v>
      </c>
      <c r="D614">
        <v>2.1724000000000001</v>
      </c>
      <c r="E614" s="1">
        <f t="shared" si="18"/>
        <v>0.85277777777777664</v>
      </c>
      <c r="F614" s="3">
        <v>46134</v>
      </c>
    </row>
    <row r="615" spans="1:6" x14ac:dyDescent="0.3">
      <c r="A615" t="s">
        <v>3</v>
      </c>
      <c r="B615">
        <v>240</v>
      </c>
      <c r="C615" s="2">
        <f t="shared" si="17"/>
        <v>8.6000000000001635E-4</v>
      </c>
      <c r="D615">
        <v>2.5884999999999998</v>
      </c>
      <c r="E615" s="1">
        <f t="shared" si="18"/>
        <v>0.86458333333333215</v>
      </c>
      <c r="F615" s="3">
        <v>46134</v>
      </c>
    </row>
    <row r="616" spans="1:6" x14ac:dyDescent="0.3">
      <c r="A616" t="s">
        <v>71</v>
      </c>
      <c r="B616">
        <v>240</v>
      </c>
      <c r="C616" s="2">
        <f t="shared" si="17"/>
        <v>5.6000000000000494E-4</v>
      </c>
      <c r="D616">
        <v>2.1772999999999998</v>
      </c>
      <c r="E616" s="1">
        <f t="shared" si="18"/>
        <v>0.86527777777777659</v>
      </c>
      <c r="F616" s="3">
        <v>46134</v>
      </c>
    </row>
    <row r="617" spans="1:6" x14ac:dyDescent="0.3">
      <c r="A617" t="s">
        <v>72</v>
      </c>
      <c r="B617">
        <v>240</v>
      </c>
      <c r="C617" s="2">
        <f t="shared" si="17"/>
        <v>1.2650000000000051E-3</v>
      </c>
      <c r="D617">
        <v>2.1791</v>
      </c>
      <c r="E617" s="1">
        <f t="shared" si="18"/>
        <v>0.86527777777777659</v>
      </c>
      <c r="F617" s="3">
        <v>46134</v>
      </c>
    </row>
    <row r="618" spans="1:6" x14ac:dyDescent="0.3">
      <c r="A618" t="s">
        <v>73</v>
      </c>
      <c r="B618">
        <v>240</v>
      </c>
      <c r="C618" s="9">
        <f t="shared" si="17"/>
        <v>5.3499999999999663E-4</v>
      </c>
      <c r="D618">
        <v>1.4351</v>
      </c>
      <c r="E618" s="1">
        <f t="shared" si="18"/>
        <v>0.86597222222222103</v>
      </c>
      <c r="F618" s="3">
        <v>46134</v>
      </c>
    </row>
    <row r="619" spans="1:6" x14ac:dyDescent="0.3">
      <c r="A619" t="s">
        <v>74</v>
      </c>
      <c r="B619">
        <v>240</v>
      </c>
      <c r="C619" s="5">
        <f t="shared" si="17"/>
        <v>6.649999999999934E-4</v>
      </c>
      <c r="D619">
        <v>1.9905999999999999</v>
      </c>
      <c r="E619" s="1">
        <f t="shared" si="18"/>
        <v>0.86597222222222103</v>
      </c>
      <c r="F619" s="3">
        <v>46134</v>
      </c>
    </row>
    <row r="620" spans="1:6" x14ac:dyDescent="0.3">
      <c r="A620" t="s">
        <v>75</v>
      </c>
      <c r="B620">
        <v>240</v>
      </c>
      <c r="C620" s="5">
        <f t="shared" si="17"/>
        <v>1.0149999999999992E-3</v>
      </c>
      <c r="D620">
        <v>1.3789</v>
      </c>
      <c r="E620" s="1">
        <f t="shared" si="18"/>
        <v>0.86597222222222103</v>
      </c>
      <c r="F620" s="3">
        <v>46134</v>
      </c>
    </row>
    <row r="621" spans="1:6" x14ac:dyDescent="0.3">
      <c r="A621" t="s">
        <v>76</v>
      </c>
      <c r="B621">
        <v>240</v>
      </c>
      <c r="C621" s="5">
        <f t="shared" si="17"/>
        <v>1.0050000000000003E-3</v>
      </c>
      <c r="D621">
        <v>1.1556</v>
      </c>
      <c r="E621" s="1">
        <f t="shared" si="18"/>
        <v>0.86666666666666548</v>
      </c>
      <c r="F621" s="3">
        <v>46134</v>
      </c>
    </row>
    <row r="622" spans="1:6" x14ac:dyDescent="0.3">
      <c r="A622" t="s">
        <v>67</v>
      </c>
      <c r="B622">
        <v>260</v>
      </c>
      <c r="C622" s="2">
        <f t="shared" si="17"/>
        <v>6.3499999999998562E-4</v>
      </c>
      <c r="D622">
        <v>2.1152000000000002</v>
      </c>
      <c r="E622" s="1">
        <f t="shared" si="18"/>
        <v>0.86597222222222103</v>
      </c>
      <c r="F622" s="3">
        <v>46134</v>
      </c>
    </row>
    <row r="623" spans="1:6" x14ac:dyDescent="0.3">
      <c r="A623" t="s">
        <v>68</v>
      </c>
      <c r="B623">
        <v>260</v>
      </c>
      <c r="C623" s="2">
        <f t="shared" si="17"/>
        <v>1.3500000000000068E-3</v>
      </c>
      <c r="D623">
        <v>2.8250999999999999</v>
      </c>
      <c r="E623" s="1">
        <f t="shared" si="18"/>
        <v>0.86597222222222103</v>
      </c>
      <c r="F623" s="3">
        <v>46134</v>
      </c>
    </row>
    <row r="624" spans="1:6" x14ac:dyDescent="0.3">
      <c r="A624" t="s">
        <v>69</v>
      </c>
      <c r="B624">
        <v>260</v>
      </c>
      <c r="C624" s="2">
        <f t="shared" si="17"/>
        <v>6.1999999999999837E-4</v>
      </c>
      <c r="D624">
        <v>2.16</v>
      </c>
      <c r="E624" s="1">
        <f t="shared" si="18"/>
        <v>0.86666666666666548</v>
      </c>
      <c r="F624" s="3">
        <v>46134</v>
      </c>
    </row>
    <row r="625" spans="1:6" x14ac:dyDescent="0.3">
      <c r="A625" t="s">
        <v>3</v>
      </c>
      <c r="B625">
        <v>260</v>
      </c>
      <c r="C625" s="2">
        <f t="shared" si="17"/>
        <v>8.3999999999999635E-4</v>
      </c>
      <c r="D625">
        <v>2.5716999999999999</v>
      </c>
      <c r="E625" s="1">
        <f t="shared" si="18"/>
        <v>0.87847222222222099</v>
      </c>
      <c r="F625" s="3">
        <v>46134</v>
      </c>
    </row>
    <row r="626" spans="1:6" x14ac:dyDescent="0.3">
      <c r="A626" t="s">
        <v>71</v>
      </c>
      <c r="B626">
        <v>260</v>
      </c>
      <c r="C626" s="2">
        <f t="shared" si="17"/>
        <v>6.0999999999999943E-4</v>
      </c>
      <c r="D626">
        <v>2.1650999999999998</v>
      </c>
      <c r="E626" s="1">
        <f t="shared" si="18"/>
        <v>0.87916666666666543</v>
      </c>
      <c r="F626" s="3">
        <v>46134</v>
      </c>
    </row>
    <row r="627" spans="1:6" x14ac:dyDescent="0.3">
      <c r="A627" t="s">
        <v>72</v>
      </c>
      <c r="B627">
        <v>260</v>
      </c>
      <c r="C627" s="2">
        <f t="shared" si="17"/>
        <v>1.2450000000000072E-3</v>
      </c>
      <c r="D627">
        <v>2.1541999999999999</v>
      </c>
      <c r="E627" s="1">
        <f t="shared" si="18"/>
        <v>0.87916666666666543</v>
      </c>
      <c r="F627" s="3">
        <v>46134</v>
      </c>
    </row>
    <row r="628" spans="1:6" x14ac:dyDescent="0.3">
      <c r="A628" t="s">
        <v>73</v>
      </c>
      <c r="B628">
        <v>260</v>
      </c>
      <c r="C628" s="9">
        <f t="shared" si="17"/>
        <v>5.2499999999999769E-4</v>
      </c>
      <c r="D628">
        <v>1.4246000000000001</v>
      </c>
      <c r="E628" s="1">
        <f t="shared" si="18"/>
        <v>0.87986111111110987</v>
      </c>
      <c r="F628" s="3">
        <v>46134</v>
      </c>
    </row>
    <row r="629" spans="1:6" x14ac:dyDescent="0.3">
      <c r="A629" t="s">
        <v>74</v>
      </c>
      <c r="B629">
        <v>260</v>
      </c>
      <c r="C629" s="5">
        <f t="shared" si="17"/>
        <v>6.2999999999999721E-4</v>
      </c>
      <c r="D629">
        <v>1.978</v>
      </c>
      <c r="E629" s="1">
        <f t="shared" si="18"/>
        <v>0.87986111111110987</v>
      </c>
      <c r="F629" s="3">
        <v>46134</v>
      </c>
    </row>
    <row r="630" spans="1:6" x14ac:dyDescent="0.3">
      <c r="A630" t="s">
        <v>75</v>
      </c>
      <c r="B630">
        <v>260</v>
      </c>
      <c r="C630" s="5">
        <f t="shared" si="17"/>
        <v>1.0299999999999975E-3</v>
      </c>
      <c r="D630">
        <v>1.3583000000000001</v>
      </c>
      <c r="E630" s="1">
        <f t="shared" si="18"/>
        <v>0.87986111111110987</v>
      </c>
      <c r="F630" s="3">
        <v>46134</v>
      </c>
    </row>
    <row r="631" spans="1:6" x14ac:dyDescent="0.3">
      <c r="A631" t="s">
        <v>76</v>
      </c>
      <c r="B631">
        <v>260</v>
      </c>
      <c r="C631" s="5">
        <f t="shared" ref="C631" si="19">(D621-D631)/20</f>
        <v>9.8500000000000258E-4</v>
      </c>
      <c r="D631">
        <v>1.1358999999999999</v>
      </c>
      <c r="E631" s="1">
        <f t="shared" si="18"/>
        <v>0.88055555555555431</v>
      </c>
      <c r="F631" s="3">
        <v>46134</v>
      </c>
    </row>
    <row r="632" spans="1:6" x14ac:dyDescent="0.3">
      <c r="A632" t="s">
        <v>78</v>
      </c>
      <c r="B632">
        <v>0</v>
      </c>
      <c r="C632" s="5">
        <v>0</v>
      </c>
      <c r="D632">
        <v>1.4763999999999999</v>
      </c>
      <c r="E632" s="1">
        <f>E623+(15/1440)</f>
        <v>0.87638888888888766</v>
      </c>
      <c r="F632" s="3">
        <v>46166</v>
      </c>
    </row>
    <row r="633" spans="1:6" x14ac:dyDescent="0.3">
      <c r="A633" t="s">
        <v>79</v>
      </c>
      <c r="B633">
        <v>0</v>
      </c>
      <c r="C633" s="5">
        <v>0</v>
      </c>
      <c r="D633">
        <v>1.1801999999999999</v>
      </c>
      <c r="E633" s="1">
        <f t="shared" ref="E633:E640" si="20">E624+(15/1440)</f>
        <v>0.8770833333333321</v>
      </c>
      <c r="F633" s="3">
        <v>46166</v>
      </c>
    </row>
    <row r="634" spans="1:6" x14ac:dyDescent="0.3">
      <c r="A634" t="s">
        <v>80</v>
      </c>
      <c r="B634">
        <v>0</v>
      </c>
      <c r="C634" s="5">
        <v>0</v>
      </c>
      <c r="D634">
        <v>2.4496000000000002</v>
      </c>
      <c r="E634" s="1">
        <f t="shared" si="20"/>
        <v>0.88888888888888762</v>
      </c>
      <c r="F634" s="3">
        <v>46166</v>
      </c>
    </row>
    <row r="635" spans="1:6" x14ac:dyDescent="0.3">
      <c r="A635" t="s">
        <v>81</v>
      </c>
      <c r="B635">
        <v>0</v>
      </c>
      <c r="C635" s="5">
        <v>0</v>
      </c>
      <c r="D635">
        <v>1.9561999999999999</v>
      </c>
      <c r="E635" s="1">
        <f t="shared" si="20"/>
        <v>0.88958333333333206</v>
      </c>
      <c r="F635" s="3">
        <v>46166</v>
      </c>
    </row>
    <row r="636" spans="1:6" x14ac:dyDescent="0.3">
      <c r="A636" t="s">
        <v>82</v>
      </c>
      <c r="B636">
        <v>0</v>
      </c>
      <c r="C636" s="5">
        <v>0</v>
      </c>
      <c r="D636">
        <v>1.3160000000000001</v>
      </c>
      <c r="E636" s="1">
        <f t="shared" si="20"/>
        <v>0.88958333333333206</v>
      </c>
      <c r="F636" s="3">
        <v>46166</v>
      </c>
    </row>
    <row r="637" spans="1:6" x14ac:dyDescent="0.3">
      <c r="A637" t="s">
        <v>83</v>
      </c>
      <c r="B637">
        <v>0</v>
      </c>
      <c r="C637" s="5">
        <v>0</v>
      </c>
      <c r="D637">
        <v>1.8498000000000001</v>
      </c>
      <c r="E637" s="1">
        <f t="shared" si="20"/>
        <v>0.8902777777777765</v>
      </c>
      <c r="F637" s="3">
        <v>46166</v>
      </c>
    </row>
    <row r="638" spans="1:6" x14ac:dyDescent="0.3">
      <c r="A638" t="s">
        <v>84</v>
      </c>
      <c r="B638">
        <v>0</v>
      </c>
      <c r="C638" s="5">
        <v>0</v>
      </c>
      <c r="D638">
        <v>2.6337999999999999</v>
      </c>
      <c r="E638" s="1">
        <f t="shared" si="20"/>
        <v>0.8902777777777765</v>
      </c>
      <c r="F638" s="3">
        <v>46166</v>
      </c>
    </row>
    <row r="639" spans="1:6" x14ac:dyDescent="0.3">
      <c r="A639" t="s">
        <v>85</v>
      </c>
      <c r="B639">
        <v>0</v>
      </c>
      <c r="C639" s="5">
        <v>0</v>
      </c>
      <c r="D639">
        <v>2.3557999999999999</v>
      </c>
      <c r="E639" s="1">
        <f t="shared" si="20"/>
        <v>0.8902777777777765</v>
      </c>
      <c r="F639" s="3">
        <v>46166</v>
      </c>
    </row>
    <row r="640" spans="1:6" x14ac:dyDescent="0.3">
      <c r="A640" t="s">
        <v>86</v>
      </c>
      <c r="B640">
        <v>0</v>
      </c>
      <c r="C640" s="5">
        <v>0</v>
      </c>
      <c r="D640">
        <v>3.3721999999999999</v>
      </c>
      <c r="E640" s="1">
        <f t="shared" si="20"/>
        <v>0.89097222222222094</v>
      </c>
      <c r="F640" s="3">
        <v>46166</v>
      </c>
    </row>
    <row r="641" spans="1:6" x14ac:dyDescent="0.3">
      <c r="A641" t="s">
        <v>78</v>
      </c>
      <c r="B641">
        <v>20</v>
      </c>
      <c r="C641" s="5">
        <f>((D632-D641))/20</f>
        <v>1.0149999999999992E-3</v>
      </c>
      <c r="D641">
        <v>1.4560999999999999</v>
      </c>
      <c r="E641" s="1">
        <f>E632+(20/1440)</f>
        <v>0.8902777777777765</v>
      </c>
      <c r="F641" s="3">
        <v>46166</v>
      </c>
    </row>
    <row r="642" spans="1:6" x14ac:dyDescent="0.3">
      <c r="A642" t="s">
        <v>79</v>
      </c>
      <c r="B642">
        <v>20</v>
      </c>
      <c r="C642" s="5">
        <f t="shared" ref="C642:C705" si="21">((D633-D642))/20</f>
        <v>3.649999999999931E-4</v>
      </c>
      <c r="D642">
        <v>1.1729000000000001</v>
      </c>
      <c r="E642" s="1">
        <f t="shared" ref="E642:E705" si="22">E633+(20/1440)</f>
        <v>0.89097222222222094</v>
      </c>
      <c r="F642" s="3">
        <v>46166</v>
      </c>
    </row>
    <row r="643" spans="1:6" x14ac:dyDescent="0.3">
      <c r="A643" t="s">
        <v>80</v>
      </c>
      <c r="B643">
        <v>20</v>
      </c>
      <c r="C643" s="5">
        <f t="shared" si="21"/>
        <v>7.000000000000117E-4</v>
      </c>
      <c r="D643">
        <v>2.4356</v>
      </c>
      <c r="E643" s="1">
        <f t="shared" si="22"/>
        <v>0.90277777777777646</v>
      </c>
      <c r="F643" s="3">
        <v>46166</v>
      </c>
    </row>
    <row r="644" spans="1:6" x14ac:dyDescent="0.3">
      <c r="A644" t="s">
        <v>81</v>
      </c>
      <c r="B644">
        <v>20</v>
      </c>
      <c r="C644" s="5">
        <f t="shared" si="21"/>
        <v>8.4999999999999518E-4</v>
      </c>
      <c r="D644">
        <v>1.9392</v>
      </c>
      <c r="E644" s="1">
        <f t="shared" si="22"/>
        <v>0.9034722222222209</v>
      </c>
      <c r="F644" s="3">
        <v>46166</v>
      </c>
    </row>
    <row r="645" spans="1:6" x14ac:dyDescent="0.3">
      <c r="A645" t="s">
        <v>82</v>
      </c>
      <c r="B645">
        <v>20</v>
      </c>
      <c r="C645" s="5">
        <f t="shared" si="21"/>
        <v>6.4500000000000668E-4</v>
      </c>
      <c r="D645">
        <v>1.3030999999999999</v>
      </c>
      <c r="E645" s="1">
        <f t="shared" si="22"/>
        <v>0.9034722222222209</v>
      </c>
      <c r="F645" s="3">
        <v>46166</v>
      </c>
    </row>
    <row r="646" spans="1:6" x14ac:dyDescent="0.3">
      <c r="A646" t="s">
        <v>83</v>
      </c>
      <c r="B646">
        <v>20</v>
      </c>
      <c r="C646" s="5">
        <f t="shared" si="21"/>
        <v>8.0000000000000069E-4</v>
      </c>
      <c r="D646">
        <v>1.8338000000000001</v>
      </c>
      <c r="E646" s="1">
        <f t="shared" si="22"/>
        <v>0.90416666666666534</v>
      </c>
      <c r="F646" s="3">
        <v>46166</v>
      </c>
    </row>
    <row r="647" spans="1:6" x14ac:dyDescent="0.3">
      <c r="A647" t="s">
        <v>84</v>
      </c>
      <c r="B647">
        <v>20</v>
      </c>
      <c r="C647" s="5">
        <f t="shared" si="21"/>
        <v>1.4599999999999947E-3</v>
      </c>
      <c r="D647">
        <v>2.6046</v>
      </c>
      <c r="E647" s="1">
        <f t="shared" si="22"/>
        <v>0.90416666666666534</v>
      </c>
      <c r="F647" s="3">
        <v>46166</v>
      </c>
    </row>
    <row r="648" spans="1:6" x14ac:dyDescent="0.3">
      <c r="A648" t="s">
        <v>85</v>
      </c>
      <c r="B648">
        <v>20</v>
      </c>
      <c r="C648" s="5">
        <f t="shared" si="21"/>
        <v>8.799999999999919E-4</v>
      </c>
      <c r="D648">
        <v>2.3382000000000001</v>
      </c>
      <c r="E648" s="1">
        <f t="shared" si="22"/>
        <v>0.90416666666666534</v>
      </c>
      <c r="F648" s="3">
        <v>46166</v>
      </c>
    </row>
    <row r="649" spans="1:6" x14ac:dyDescent="0.3">
      <c r="A649" t="s">
        <v>86</v>
      </c>
      <c r="B649">
        <v>20</v>
      </c>
      <c r="C649" s="5">
        <f t="shared" si="21"/>
        <v>1.5149999999999996E-3</v>
      </c>
      <c r="D649">
        <v>3.3418999999999999</v>
      </c>
      <c r="E649" s="1">
        <f t="shared" si="22"/>
        <v>0.90486111111110978</v>
      </c>
      <c r="F649" s="3">
        <v>46166</v>
      </c>
    </row>
    <row r="650" spans="1:6" x14ac:dyDescent="0.3">
      <c r="A650" t="s">
        <v>78</v>
      </c>
      <c r="B650">
        <v>40</v>
      </c>
      <c r="C650" s="5">
        <f t="shared" si="21"/>
        <v>1.8549999999999955E-3</v>
      </c>
      <c r="D650">
        <v>1.419</v>
      </c>
      <c r="E650" s="1">
        <f t="shared" si="22"/>
        <v>0.90416666666666534</v>
      </c>
      <c r="F650" s="3">
        <v>46166</v>
      </c>
    </row>
    <row r="651" spans="1:6" x14ac:dyDescent="0.3">
      <c r="A651" t="s">
        <v>79</v>
      </c>
      <c r="B651">
        <v>40</v>
      </c>
      <c r="C651" s="5">
        <f t="shared" si="21"/>
        <v>3.4000000000000696E-4</v>
      </c>
      <c r="D651">
        <v>1.1660999999999999</v>
      </c>
      <c r="E651" s="1">
        <f t="shared" si="22"/>
        <v>0.90486111111110978</v>
      </c>
      <c r="F651" s="3">
        <v>46166</v>
      </c>
    </row>
    <row r="652" spans="1:6" x14ac:dyDescent="0.3">
      <c r="A652" t="s">
        <v>80</v>
      </c>
      <c r="B652">
        <v>40</v>
      </c>
      <c r="C652" s="5">
        <f t="shared" si="21"/>
        <v>9.0999999999998862E-4</v>
      </c>
      <c r="D652">
        <v>2.4174000000000002</v>
      </c>
      <c r="E652" s="1">
        <f t="shared" si="22"/>
        <v>0.9166666666666653</v>
      </c>
      <c r="F652" s="3">
        <v>46166</v>
      </c>
    </row>
    <row r="653" spans="1:6" x14ac:dyDescent="0.3">
      <c r="A653" t="s">
        <v>81</v>
      </c>
      <c r="B653">
        <v>40</v>
      </c>
      <c r="C653" s="5">
        <f t="shared" si="21"/>
        <v>7.3499999999999672E-4</v>
      </c>
      <c r="D653">
        <v>1.9245000000000001</v>
      </c>
      <c r="E653" s="1">
        <f t="shared" si="22"/>
        <v>0.91736111111110974</v>
      </c>
      <c r="F653" s="3">
        <v>46166</v>
      </c>
    </row>
    <row r="654" spans="1:6" x14ac:dyDescent="0.3">
      <c r="A654" t="s">
        <v>82</v>
      </c>
      <c r="B654">
        <v>40</v>
      </c>
      <c r="C654" s="5">
        <f t="shared" si="21"/>
        <v>6.4999999999999498E-4</v>
      </c>
      <c r="D654">
        <v>1.2901</v>
      </c>
      <c r="E654" s="1">
        <f t="shared" si="22"/>
        <v>0.91736111111110974</v>
      </c>
      <c r="F654" s="3">
        <v>46166</v>
      </c>
    </row>
    <row r="655" spans="1:6" x14ac:dyDescent="0.3">
      <c r="A655" t="s">
        <v>83</v>
      </c>
      <c r="B655">
        <v>40</v>
      </c>
      <c r="C655" s="5">
        <f t="shared" si="21"/>
        <v>8.8000000000000296E-4</v>
      </c>
      <c r="D655">
        <v>1.8162</v>
      </c>
      <c r="E655" s="1">
        <f t="shared" si="22"/>
        <v>0.91805555555555418</v>
      </c>
      <c r="F655" s="3">
        <v>46166</v>
      </c>
    </row>
    <row r="656" spans="1:6" x14ac:dyDescent="0.3">
      <c r="A656" t="s">
        <v>84</v>
      </c>
      <c r="B656">
        <v>40</v>
      </c>
      <c r="C656" s="5">
        <f t="shared" si="21"/>
        <v>1.374999999999993E-3</v>
      </c>
      <c r="D656">
        <v>2.5771000000000002</v>
      </c>
      <c r="E656" s="1">
        <f t="shared" si="22"/>
        <v>0.91805555555555418</v>
      </c>
      <c r="F656" s="3">
        <v>46166</v>
      </c>
    </row>
    <row r="657" spans="1:6" x14ac:dyDescent="0.3">
      <c r="A657" t="s">
        <v>85</v>
      </c>
      <c r="B657">
        <v>40</v>
      </c>
      <c r="C657" s="5">
        <f t="shared" si="21"/>
        <v>9.000000000000119E-4</v>
      </c>
      <c r="D657">
        <v>2.3201999999999998</v>
      </c>
      <c r="E657" s="1">
        <f t="shared" si="22"/>
        <v>0.91805555555555418</v>
      </c>
      <c r="F657" s="3">
        <v>46166</v>
      </c>
    </row>
    <row r="658" spans="1:6" x14ac:dyDescent="0.3">
      <c r="A658" t="s">
        <v>86</v>
      </c>
      <c r="B658">
        <v>40</v>
      </c>
      <c r="C658" s="5">
        <f t="shared" si="21"/>
        <v>1.3800000000000034E-3</v>
      </c>
      <c r="D658">
        <v>3.3142999999999998</v>
      </c>
      <c r="E658" s="1">
        <f t="shared" si="22"/>
        <v>0.91874999999999862</v>
      </c>
      <c r="F658" s="3">
        <v>46166</v>
      </c>
    </row>
    <row r="659" spans="1:6" x14ac:dyDescent="0.3">
      <c r="A659" t="s">
        <v>78</v>
      </c>
      <c r="B659">
        <v>60</v>
      </c>
      <c r="C659" s="5">
        <f t="shared" si="21"/>
        <v>1.3000000000000012E-3</v>
      </c>
      <c r="D659">
        <v>1.393</v>
      </c>
      <c r="E659" s="1">
        <f t="shared" si="22"/>
        <v>0.91805555555555418</v>
      </c>
      <c r="F659" s="3">
        <v>46166</v>
      </c>
    </row>
    <row r="660" spans="1:6" x14ac:dyDescent="0.3">
      <c r="A660" t="s">
        <v>79</v>
      </c>
      <c r="B660">
        <v>60</v>
      </c>
      <c r="C660" s="5">
        <f t="shared" si="21"/>
        <v>3.5999999999999368E-4</v>
      </c>
      <c r="D660">
        <v>1.1589</v>
      </c>
      <c r="E660" s="1">
        <f t="shared" si="22"/>
        <v>0.91874999999999862</v>
      </c>
      <c r="F660" s="3">
        <v>46166</v>
      </c>
    </row>
    <row r="661" spans="1:6" x14ac:dyDescent="0.3">
      <c r="A661" t="s">
        <v>80</v>
      </c>
      <c r="B661">
        <v>60</v>
      </c>
      <c r="C661" s="5">
        <f t="shared" si="21"/>
        <v>9.1000000000001084E-4</v>
      </c>
      <c r="D661">
        <v>2.3992</v>
      </c>
      <c r="E661" s="1">
        <f t="shared" si="22"/>
        <v>0.93055555555555414</v>
      </c>
      <c r="F661" s="3">
        <v>46166</v>
      </c>
    </row>
    <row r="662" spans="1:6" x14ac:dyDescent="0.3">
      <c r="A662" t="s">
        <v>81</v>
      </c>
      <c r="B662">
        <v>60</v>
      </c>
      <c r="C662" s="5">
        <f t="shared" si="21"/>
        <v>8.4500000000000688E-4</v>
      </c>
      <c r="D662">
        <v>1.9076</v>
      </c>
      <c r="E662" s="1">
        <f t="shared" si="22"/>
        <v>0.93124999999999858</v>
      </c>
      <c r="F662" s="3">
        <v>46166</v>
      </c>
    </row>
    <row r="663" spans="1:6" x14ac:dyDescent="0.3">
      <c r="A663" t="s">
        <v>82</v>
      </c>
      <c r="B663">
        <v>60</v>
      </c>
      <c r="C663" s="5">
        <f t="shared" si="21"/>
        <v>6.6500000000000445E-4</v>
      </c>
      <c r="D663">
        <v>1.2767999999999999</v>
      </c>
      <c r="E663" s="1">
        <f t="shared" si="22"/>
        <v>0.93124999999999858</v>
      </c>
      <c r="F663" s="3">
        <v>46166</v>
      </c>
    </row>
    <row r="664" spans="1:6" x14ac:dyDescent="0.3">
      <c r="A664" t="s">
        <v>83</v>
      </c>
      <c r="B664">
        <v>60</v>
      </c>
      <c r="C664" s="5">
        <f t="shared" si="21"/>
        <v>8.3999999999999635E-4</v>
      </c>
      <c r="D664">
        <v>1.7994000000000001</v>
      </c>
      <c r="E664" s="1">
        <f t="shared" si="22"/>
        <v>0.93194444444444302</v>
      </c>
      <c r="F664" s="3">
        <v>46166</v>
      </c>
    </row>
    <row r="665" spans="1:6" x14ac:dyDescent="0.3">
      <c r="A665" t="s">
        <v>84</v>
      </c>
      <c r="B665">
        <v>60</v>
      </c>
      <c r="C665" s="5">
        <f t="shared" si="21"/>
        <v>1.3300000000000089E-3</v>
      </c>
      <c r="D665">
        <v>2.5505</v>
      </c>
      <c r="E665" s="1">
        <f t="shared" si="22"/>
        <v>0.93194444444444302</v>
      </c>
      <c r="F665" s="3">
        <v>46166</v>
      </c>
    </row>
    <row r="666" spans="1:6" x14ac:dyDescent="0.3">
      <c r="A666" t="s">
        <v>85</v>
      </c>
      <c r="B666">
        <v>60</v>
      </c>
      <c r="C666" s="5">
        <f t="shared" si="21"/>
        <v>8.2499999999998688E-4</v>
      </c>
      <c r="D666">
        <v>2.3037000000000001</v>
      </c>
      <c r="E666" s="1">
        <f t="shared" si="22"/>
        <v>0.93194444444444302</v>
      </c>
      <c r="F666" s="3">
        <v>46166</v>
      </c>
    </row>
    <row r="667" spans="1:6" x14ac:dyDescent="0.3">
      <c r="A667" t="s">
        <v>86</v>
      </c>
      <c r="B667">
        <v>60</v>
      </c>
      <c r="C667" s="5">
        <f t="shared" si="21"/>
        <v>1.2599999999999944E-3</v>
      </c>
      <c r="D667">
        <v>3.2890999999999999</v>
      </c>
      <c r="E667" s="1">
        <f t="shared" si="22"/>
        <v>0.93263888888888746</v>
      </c>
      <c r="F667" s="3">
        <v>46166</v>
      </c>
    </row>
    <row r="668" spans="1:6" x14ac:dyDescent="0.3">
      <c r="A668" t="s">
        <v>78</v>
      </c>
      <c r="B668">
        <v>80</v>
      </c>
      <c r="C668" s="5">
        <f t="shared" si="21"/>
        <v>9.3499999999999692E-4</v>
      </c>
      <c r="D668">
        <v>1.3743000000000001</v>
      </c>
      <c r="E668" s="1">
        <f t="shared" si="22"/>
        <v>0.93194444444444302</v>
      </c>
      <c r="F668" s="3">
        <v>46166</v>
      </c>
    </row>
    <row r="669" spans="1:6" x14ac:dyDescent="0.3">
      <c r="A669" t="s">
        <v>79</v>
      </c>
      <c r="B669">
        <v>80</v>
      </c>
      <c r="C669" s="5">
        <f t="shared" si="21"/>
        <v>3.2499999999999749E-4</v>
      </c>
      <c r="D669">
        <v>1.1524000000000001</v>
      </c>
      <c r="E669" s="1">
        <f t="shared" si="22"/>
        <v>0.93263888888888746</v>
      </c>
      <c r="F669" s="3">
        <v>46166</v>
      </c>
    </row>
    <row r="670" spans="1:6" x14ac:dyDescent="0.3">
      <c r="A670" t="s">
        <v>80</v>
      </c>
      <c r="B670">
        <v>80</v>
      </c>
      <c r="C670" s="5">
        <f t="shared" si="21"/>
        <v>8.250000000000091E-4</v>
      </c>
      <c r="D670">
        <v>2.3826999999999998</v>
      </c>
      <c r="E670" s="1">
        <f t="shared" si="22"/>
        <v>0.94444444444444298</v>
      </c>
      <c r="F670" s="3">
        <v>46166</v>
      </c>
    </row>
    <row r="671" spans="1:6" x14ac:dyDescent="0.3">
      <c r="A671" t="s">
        <v>81</v>
      </c>
      <c r="B671">
        <v>80</v>
      </c>
      <c r="C671" s="5">
        <f t="shared" si="21"/>
        <v>9.3499999999999692E-4</v>
      </c>
      <c r="D671">
        <v>1.8889</v>
      </c>
      <c r="E671" s="1">
        <f t="shared" si="22"/>
        <v>0.94513888888888742</v>
      </c>
      <c r="F671" s="3">
        <v>46166</v>
      </c>
    </row>
    <row r="672" spans="1:6" x14ac:dyDescent="0.3">
      <c r="A672" t="s">
        <v>82</v>
      </c>
      <c r="B672">
        <v>80</v>
      </c>
      <c r="C672" s="5">
        <f t="shared" si="21"/>
        <v>7.1999999999999842E-4</v>
      </c>
      <c r="D672">
        <v>1.2624</v>
      </c>
      <c r="E672" s="1">
        <f t="shared" si="22"/>
        <v>0.94513888888888742</v>
      </c>
      <c r="F672" s="3">
        <v>46166</v>
      </c>
    </row>
    <row r="673" spans="1:6" x14ac:dyDescent="0.3">
      <c r="A673" t="s">
        <v>83</v>
      </c>
      <c r="B673">
        <v>80</v>
      </c>
      <c r="C673" s="5">
        <f t="shared" si="21"/>
        <v>8.750000000000036E-4</v>
      </c>
      <c r="D673">
        <v>1.7819</v>
      </c>
      <c r="E673" s="1">
        <f t="shared" si="22"/>
        <v>0.94583333333333186</v>
      </c>
      <c r="F673" s="3">
        <v>46166</v>
      </c>
    </row>
    <row r="674" spans="1:6" x14ac:dyDescent="0.3">
      <c r="A674" t="s">
        <v>84</v>
      </c>
      <c r="B674">
        <v>80</v>
      </c>
      <c r="C674" s="5">
        <f t="shared" si="21"/>
        <v>1.6650000000000055E-3</v>
      </c>
      <c r="D674">
        <v>2.5171999999999999</v>
      </c>
      <c r="E674" s="1">
        <f t="shared" si="22"/>
        <v>0.94583333333333186</v>
      </c>
      <c r="F674" s="3">
        <v>46166</v>
      </c>
    </row>
    <row r="675" spans="1:6" x14ac:dyDescent="0.3">
      <c r="A675" t="s">
        <v>85</v>
      </c>
      <c r="B675">
        <v>80</v>
      </c>
      <c r="C675" s="5">
        <f t="shared" si="21"/>
        <v>9.2499999999999809E-4</v>
      </c>
      <c r="D675">
        <v>2.2852000000000001</v>
      </c>
      <c r="E675" s="1">
        <f t="shared" si="22"/>
        <v>0.94583333333333186</v>
      </c>
      <c r="F675" s="3">
        <v>46166</v>
      </c>
    </row>
    <row r="676" spans="1:6" x14ac:dyDescent="0.3">
      <c r="A676" t="s">
        <v>86</v>
      </c>
      <c r="B676">
        <v>80</v>
      </c>
      <c r="C676" s="5">
        <f t="shared" si="21"/>
        <v>1.4899999999999913E-3</v>
      </c>
      <c r="D676">
        <v>3.2593000000000001</v>
      </c>
      <c r="E676" s="1">
        <f t="shared" si="22"/>
        <v>0.9465277777777763</v>
      </c>
      <c r="F676" s="3">
        <v>46166</v>
      </c>
    </row>
    <row r="677" spans="1:6" x14ac:dyDescent="0.3">
      <c r="A677" t="s">
        <v>78</v>
      </c>
      <c r="B677">
        <f>B668+20</f>
        <v>100</v>
      </c>
      <c r="C677" s="5">
        <f t="shared" si="21"/>
        <v>8.900000000000019E-4</v>
      </c>
      <c r="D677">
        <v>1.3565</v>
      </c>
      <c r="E677" s="1">
        <f t="shared" si="22"/>
        <v>0.94583333333333186</v>
      </c>
      <c r="F677" s="3">
        <v>46166</v>
      </c>
    </row>
    <row r="678" spans="1:6" x14ac:dyDescent="0.3">
      <c r="A678" t="s">
        <v>79</v>
      </c>
      <c r="B678">
        <f t="shared" ref="B678:B741" si="23">B669+20</f>
        <v>100</v>
      </c>
      <c r="C678" s="5">
        <f t="shared" si="21"/>
        <v>3.6500000000000421E-4</v>
      </c>
      <c r="D678">
        <v>1.1451</v>
      </c>
      <c r="E678" s="1">
        <f t="shared" si="22"/>
        <v>0.9465277777777763</v>
      </c>
      <c r="F678" s="3">
        <v>46166</v>
      </c>
    </row>
    <row r="679" spans="1:6" x14ac:dyDescent="0.3">
      <c r="A679" t="s">
        <v>80</v>
      </c>
      <c r="B679">
        <f t="shared" si="23"/>
        <v>100</v>
      </c>
      <c r="C679" s="5">
        <f t="shared" si="21"/>
        <v>1.0649999999999826E-3</v>
      </c>
      <c r="D679">
        <v>2.3614000000000002</v>
      </c>
      <c r="E679" s="1">
        <f t="shared" si="22"/>
        <v>0.95833333333333182</v>
      </c>
      <c r="F679" s="3">
        <v>46166</v>
      </c>
    </row>
    <row r="680" spans="1:6" x14ac:dyDescent="0.3">
      <c r="A680" t="s">
        <v>81</v>
      </c>
      <c r="B680">
        <f t="shared" si="23"/>
        <v>100</v>
      </c>
      <c r="C680" s="5">
        <f t="shared" si="21"/>
        <v>1.1099999999999999E-3</v>
      </c>
      <c r="D680">
        <v>1.8667</v>
      </c>
      <c r="E680" s="1">
        <f t="shared" si="22"/>
        <v>0.95902777777777626</v>
      </c>
      <c r="F680" s="3">
        <v>46166</v>
      </c>
    </row>
    <row r="681" spans="1:6" x14ac:dyDescent="0.3">
      <c r="A681" t="s">
        <v>82</v>
      </c>
      <c r="B681">
        <f t="shared" si="23"/>
        <v>100</v>
      </c>
      <c r="C681" s="5">
        <f t="shared" si="21"/>
        <v>6.4999999999999498E-4</v>
      </c>
      <c r="D681">
        <v>1.2494000000000001</v>
      </c>
      <c r="E681" s="1">
        <f t="shared" si="22"/>
        <v>0.95902777777777626</v>
      </c>
      <c r="F681" s="3">
        <v>46166</v>
      </c>
    </row>
    <row r="682" spans="1:6" x14ac:dyDescent="0.3">
      <c r="A682" t="s">
        <v>83</v>
      </c>
      <c r="B682">
        <f t="shared" si="23"/>
        <v>100</v>
      </c>
      <c r="C682" s="5">
        <f t="shared" si="21"/>
        <v>8.7000000000000413E-4</v>
      </c>
      <c r="D682">
        <v>1.7645</v>
      </c>
      <c r="E682" s="1">
        <f t="shared" si="22"/>
        <v>0.9597222222222207</v>
      </c>
      <c r="F682" s="3">
        <v>46166</v>
      </c>
    </row>
    <row r="683" spans="1:6" x14ac:dyDescent="0.3">
      <c r="A683" t="s">
        <v>84</v>
      </c>
      <c r="B683">
        <f t="shared" si="23"/>
        <v>100</v>
      </c>
      <c r="C683" s="5">
        <f t="shared" si="21"/>
        <v>1.5149999999999996E-3</v>
      </c>
      <c r="D683">
        <v>2.4868999999999999</v>
      </c>
      <c r="E683" s="1">
        <f t="shared" si="22"/>
        <v>0.9597222222222207</v>
      </c>
      <c r="F683" s="3">
        <v>46166</v>
      </c>
    </row>
    <row r="684" spans="1:6" x14ac:dyDescent="0.3">
      <c r="A684" t="s">
        <v>85</v>
      </c>
      <c r="B684">
        <f t="shared" si="23"/>
        <v>100</v>
      </c>
      <c r="C684" s="5">
        <f t="shared" si="21"/>
        <v>8.3500000000000794E-4</v>
      </c>
      <c r="D684">
        <v>2.2685</v>
      </c>
      <c r="E684" s="1">
        <f t="shared" si="22"/>
        <v>0.9597222222222207</v>
      </c>
      <c r="F684" s="3">
        <v>46166</v>
      </c>
    </row>
    <row r="685" spans="1:6" x14ac:dyDescent="0.3">
      <c r="A685" t="s">
        <v>86</v>
      </c>
      <c r="B685">
        <f t="shared" si="23"/>
        <v>100</v>
      </c>
      <c r="C685" s="5">
        <f t="shared" si="21"/>
        <v>1.3750000000000151E-3</v>
      </c>
      <c r="D685">
        <v>3.2317999999999998</v>
      </c>
      <c r="E685" s="1">
        <f t="shared" si="22"/>
        <v>0.96041666666666514</v>
      </c>
      <c r="F685" s="3">
        <v>46166</v>
      </c>
    </row>
    <row r="686" spans="1:6" x14ac:dyDescent="0.3">
      <c r="A686" t="s">
        <v>78</v>
      </c>
      <c r="B686">
        <f t="shared" si="23"/>
        <v>120</v>
      </c>
      <c r="C686" s="5">
        <f t="shared" si="21"/>
        <v>9.7500000000000364E-4</v>
      </c>
      <c r="D686">
        <v>1.337</v>
      </c>
      <c r="E686" s="1">
        <f t="shared" si="22"/>
        <v>0.9597222222222207</v>
      </c>
      <c r="F686" s="3">
        <v>46166</v>
      </c>
    </row>
    <row r="687" spans="1:6" x14ac:dyDescent="0.3">
      <c r="A687" t="s">
        <v>79</v>
      </c>
      <c r="B687">
        <f t="shared" si="23"/>
        <v>120</v>
      </c>
      <c r="C687" s="5">
        <f t="shared" si="21"/>
        <v>3.8500000000000199E-4</v>
      </c>
      <c r="D687">
        <v>1.1374</v>
      </c>
      <c r="E687" s="1">
        <f t="shared" si="22"/>
        <v>0.96041666666666514</v>
      </c>
      <c r="F687" s="3">
        <v>46166</v>
      </c>
    </row>
    <row r="688" spans="1:6" x14ac:dyDescent="0.3">
      <c r="A688" t="s">
        <v>80</v>
      </c>
      <c r="B688">
        <f t="shared" si="23"/>
        <v>120</v>
      </c>
      <c r="C688" s="5">
        <f t="shared" si="21"/>
        <v>1.2500000000000178E-3</v>
      </c>
      <c r="D688">
        <v>2.3363999999999998</v>
      </c>
      <c r="E688" s="1">
        <f t="shared" si="22"/>
        <v>0.97222222222222066</v>
      </c>
      <c r="F688" s="3">
        <v>46166</v>
      </c>
    </row>
    <row r="689" spans="1:6" x14ac:dyDescent="0.3">
      <c r="A689" t="s">
        <v>81</v>
      </c>
      <c r="B689">
        <f t="shared" si="23"/>
        <v>120</v>
      </c>
      <c r="C689" s="5">
        <f t="shared" si="21"/>
        <v>9.7500000000000364E-4</v>
      </c>
      <c r="D689">
        <v>1.8472</v>
      </c>
      <c r="E689" s="1">
        <f t="shared" si="22"/>
        <v>0.9729166666666651</v>
      </c>
      <c r="F689" s="3">
        <v>46166</v>
      </c>
    </row>
    <row r="690" spans="1:6" x14ac:dyDescent="0.3">
      <c r="A690" t="s">
        <v>82</v>
      </c>
      <c r="B690">
        <f t="shared" si="23"/>
        <v>120</v>
      </c>
      <c r="C690" s="5">
        <f t="shared" si="21"/>
        <v>6.0499999999999996E-4</v>
      </c>
      <c r="D690">
        <v>1.2373000000000001</v>
      </c>
      <c r="E690" s="1">
        <f t="shared" si="22"/>
        <v>0.9729166666666651</v>
      </c>
      <c r="F690" s="3">
        <v>46166</v>
      </c>
    </row>
    <row r="691" spans="1:6" x14ac:dyDescent="0.3">
      <c r="A691" t="s">
        <v>83</v>
      </c>
      <c r="B691">
        <f t="shared" si="23"/>
        <v>120</v>
      </c>
      <c r="C691" s="5">
        <f t="shared" si="21"/>
        <v>8.3499999999999688E-4</v>
      </c>
      <c r="D691">
        <v>1.7478</v>
      </c>
      <c r="E691" s="1">
        <f t="shared" si="22"/>
        <v>0.97361111111110954</v>
      </c>
      <c r="F691" s="3">
        <v>46166</v>
      </c>
    </row>
    <row r="692" spans="1:6" x14ac:dyDescent="0.3">
      <c r="A692" t="s">
        <v>84</v>
      </c>
      <c r="B692">
        <f t="shared" si="23"/>
        <v>120</v>
      </c>
      <c r="C692" s="5">
        <f t="shared" si="21"/>
        <v>1.3700000000000045E-3</v>
      </c>
      <c r="D692">
        <v>2.4594999999999998</v>
      </c>
      <c r="E692" s="1">
        <f t="shared" si="22"/>
        <v>0.97361111111110954</v>
      </c>
      <c r="F692" s="3">
        <v>46166</v>
      </c>
    </row>
    <row r="693" spans="1:6" x14ac:dyDescent="0.3">
      <c r="A693" t="s">
        <v>85</v>
      </c>
      <c r="B693">
        <f t="shared" si="23"/>
        <v>120</v>
      </c>
      <c r="C693" s="5">
        <f t="shared" si="21"/>
        <v>9.2499999999999809E-4</v>
      </c>
      <c r="D693">
        <v>2.25</v>
      </c>
      <c r="E693" s="1">
        <f t="shared" si="22"/>
        <v>0.97361111111110954</v>
      </c>
      <c r="F693" s="3">
        <v>46166</v>
      </c>
    </row>
    <row r="694" spans="1:6" x14ac:dyDescent="0.3">
      <c r="A694" t="s">
        <v>86</v>
      </c>
      <c r="B694">
        <f t="shared" si="23"/>
        <v>120</v>
      </c>
      <c r="C694" s="5">
        <f t="shared" si="21"/>
        <v>1.2749999999999817E-3</v>
      </c>
      <c r="D694">
        <v>3.2063000000000001</v>
      </c>
      <c r="E694" s="1">
        <f t="shared" si="22"/>
        <v>0.97430555555555398</v>
      </c>
      <c r="F694" s="3">
        <v>46166</v>
      </c>
    </row>
    <row r="695" spans="1:6" x14ac:dyDescent="0.3">
      <c r="A695" t="s">
        <v>78</v>
      </c>
      <c r="B695">
        <f t="shared" si="23"/>
        <v>140</v>
      </c>
      <c r="C695" s="5">
        <f t="shared" si="21"/>
        <v>8.149999999999991E-4</v>
      </c>
      <c r="D695">
        <v>1.3207</v>
      </c>
      <c r="E695" s="1">
        <f t="shared" si="22"/>
        <v>0.97361111111110954</v>
      </c>
      <c r="F695" s="3">
        <v>46166</v>
      </c>
    </row>
    <row r="696" spans="1:6" x14ac:dyDescent="0.3">
      <c r="A696" t="s">
        <v>79</v>
      </c>
      <c r="B696">
        <f t="shared" si="23"/>
        <v>140</v>
      </c>
      <c r="C696" s="5">
        <f t="shared" si="21"/>
        <v>3.2499999999999749E-4</v>
      </c>
      <c r="D696">
        <v>1.1309</v>
      </c>
      <c r="E696" s="1">
        <f t="shared" si="22"/>
        <v>0.97430555555555398</v>
      </c>
      <c r="F696" s="3">
        <v>46166</v>
      </c>
    </row>
    <row r="697" spans="1:6" x14ac:dyDescent="0.3">
      <c r="A697" t="s">
        <v>80</v>
      </c>
      <c r="B697">
        <f t="shared" si="23"/>
        <v>140</v>
      </c>
      <c r="C697" s="5">
        <f t="shared" si="21"/>
        <v>1.2199999999999989E-3</v>
      </c>
      <c r="D697">
        <v>2.3119999999999998</v>
      </c>
      <c r="E697" s="1">
        <f t="shared" si="22"/>
        <v>0.9861111111111095</v>
      </c>
      <c r="F697" s="3">
        <v>46166</v>
      </c>
    </row>
    <row r="698" spans="1:6" x14ac:dyDescent="0.3">
      <c r="A698" t="s">
        <v>81</v>
      </c>
      <c r="B698">
        <f t="shared" si="23"/>
        <v>140</v>
      </c>
      <c r="C698" s="5">
        <f t="shared" si="21"/>
        <v>7.4499999999999567E-4</v>
      </c>
      <c r="D698">
        <v>1.8323</v>
      </c>
      <c r="E698" s="1">
        <f t="shared" si="22"/>
        <v>0.98680555555555394</v>
      </c>
      <c r="F698" s="3">
        <v>46166</v>
      </c>
    </row>
    <row r="699" spans="1:6" x14ac:dyDescent="0.3">
      <c r="A699" t="s">
        <v>82</v>
      </c>
      <c r="B699">
        <f t="shared" si="23"/>
        <v>140</v>
      </c>
      <c r="C699" s="5">
        <f t="shared" si="21"/>
        <v>6.0499999999999996E-4</v>
      </c>
      <c r="D699">
        <v>1.2252000000000001</v>
      </c>
      <c r="E699" s="1">
        <f t="shared" si="22"/>
        <v>0.98680555555555394</v>
      </c>
      <c r="F699" s="3">
        <v>46166</v>
      </c>
    </row>
    <row r="700" spans="1:6" x14ac:dyDescent="0.3">
      <c r="A700" t="s">
        <v>83</v>
      </c>
      <c r="B700">
        <f t="shared" si="23"/>
        <v>140</v>
      </c>
      <c r="C700" s="5">
        <f t="shared" si="21"/>
        <v>7.0500000000000011E-4</v>
      </c>
      <c r="D700">
        <v>1.7337</v>
      </c>
      <c r="E700" s="1">
        <f t="shared" si="22"/>
        <v>0.98749999999999838</v>
      </c>
      <c r="F700" s="3">
        <v>46166</v>
      </c>
    </row>
    <row r="701" spans="1:6" x14ac:dyDescent="0.3">
      <c r="A701" t="s">
        <v>84</v>
      </c>
      <c r="B701">
        <f t="shared" si="23"/>
        <v>140</v>
      </c>
      <c r="C701" s="5">
        <f t="shared" si="21"/>
        <v>1.29999999999999E-3</v>
      </c>
      <c r="D701">
        <v>2.4335</v>
      </c>
      <c r="E701" s="1">
        <f t="shared" si="22"/>
        <v>0.98749999999999838</v>
      </c>
      <c r="F701" s="3">
        <v>46166</v>
      </c>
    </row>
    <row r="702" spans="1:6" x14ac:dyDescent="0.3">
      <c r="A702" t="s">
        <v>85</v>
      </c>
      <c r="B702">
        <f t="shared" si="23"/>
        <v>140</v>
      </c>
      <c r="C702" s="5">
        <f t="shared" si="21"/>
        <v>8.4500000000000688E-4</v>
      </c>
      <c r="D702">
        <v>2.2330999999999999</v>
      </c>
      <c r="E702" s="1">
        <f t="shared" si="22"/>
        <v>0.98749999999999838</v>
      </c>
      <c r="F702" s="3">
        <v>46166</v>
      </c>
    </row>
    <row r="703" spans="1:6" x14ac:dyDescent="0.3">
      <c r="A703" t="s">
        <v>86</v>
      </c>
      <c r="B703">
        <f t="shared" si="23"/>
        <v>140</v>
      </c>
      <c r="C703" s="5">
        <f t="shared" si="21"/>
        <v>1.2950000000000017E-3</v>
      </c>
      <c r="D703">
        <v>3.1804000000000001</v>
      </c>
      <c r="E703" s="1">
        <f t="shared" si="22"/>
        <v>0.98819444444444282</v>
      </c>
      <c r="F703" s="3">
        <v>46166</v>
      </c>
    </row>
    <row r="704" spans="1:6" x14ac:dyDescent="0.3">
      <c r="A704" t="s">
        <v>78</v>
      </c>
      <c r="B704">
        <f t="shared" si="23"/>
        <v>160</v>
      </c>
      <c r="C704" s="5">
        <f t="shared" si="21"/>
        <v>8.6500000000000465E-4</v>
      </c>
      <c r="D704">
        <v>1.3033999999999999</v>
      </c>
      <c r="E704" s="1">
        <f t="shared" si="22"/>
        <v>0.98749999999999838</v>
      </c>
      <c r="F704" s="3">
        <v>46166</v>
      </c>
    </row>
    <row r="705" spans="1:6" x14ac:dyDescent="0.3">
      <c r="A705" t="s">
        <v>79</v>
      </c>
      <c r="B705">
        <f t="shared" si="23"/>
        <v>160</v>
      </c>
      <c r="C705" s="5">
        <f t="shared" si="21"/>
        <v>3.5500000000000532E-4</v>
      </c>
      <c r="D705">
        <v>1.1237999999999999</v>
      </c>
      <c r="E705" s="1">
        <f t="shared" si="22"/>
        <v>0.98819444444444282</v>
      </c>
      <c r="F705" s="3">
        <v>46166</v>
      </c>
    </row>
    <row r="706" spans="1:6" x14ac:dyDescent="0.3">
      <c r="A706" t="s">
        <v>80</v>
      </c>
      <c r="B706">
        <f t="shared" si="23"/>
        <v>160</v>
      </c>
      <c r="C706" s="5">
        <f t="shared" ref="C706:C757" si="24">((D697-D706))/20</f>
        <v>8.3499999999998571E-4</v>
      </c>
      <c r="D706">
        <v>2.2953000000000001</v>
      </c>
      <c r="E706" s="1">
        <f t="shared" ref="E706:E757" si="25">E697+(20/1440)</f>
        <v>0.99999999999999833</v>
      </c>
      <c r="F706" s="3">
        <v>46166</v>
      </c>
    </row>
    <row r="707" spans="1:6" x14ac:dyDescent="0.3">
      <c r="A707" t="s">
        <v>81</v>
      </c>
      <c r="B707">
        <f t="shared" si="23"/>
        <v>160</v>
      </c>
      <c r="C707" s="5">
        <f t="shared" si="24"/>
        <v>7.500000000000062E-4</v>
      </c>
      <c r="D707">
        <v>1.8172999999999999</v>
      </c>
      <c r="E707" s="1">
        <f t="shared" si="25"/>
        <v>1.0006944444444428</v>
      </c>
      <c r="F707" s="3">
        <v>46166</v>
      </c>
    </row>
    <row r="708" spans="1:6" x14ac:dyDescent="0.3">
      <c r="A708" t="s">
        <v>82</v>
      </c>
      <c r="B708">
        <f t="shared" si="23"/>
        <v>160</v>
      </c>
      <c r="C708" s="5">
        <f t="shared" si="24"/>
        <v>6.4000000000000721E-4</v>
      </c>
      <c r="D708">
        <v>1.2123999999999999</v>
      </c>
      <c r="E708" s="1">
        <f t="shared" si="25"/>
        <v>1.0006944444444428</v>
      </c>
      <c r="F708" s="3">
        <v>46166</v>
      </c>
    </row>
    <row r="709" spans="1:6" x14ac:dyDescent="0.3">
      <c r="A709" t="s">
        <v>83</v>
      </c>
      <c r="B709">
        <f t="shared" si="23"/>
        <v>160</v>
      </c>
      <c r="C709" s="5">
        <f t="shared" si="24"/>
        <v>8.149999999999991E-4</v>
      </c>
      <c r="D709">
        <v>1.7174</v>
      </c>
      <c r="E709" s="1">
        <f t="shared" si="25"/>
        <v>1.0013888888888873</v>
      </c>
      <c r="F709" s="3">
        <v>46166</v>
      </c>
    </row>
    <row r="710" spans="1:6" x14ac:dyDescent="0.3">
      <c r="A710" t="s">
        <v>84</v>
      </c>
      <c r="B710">
        <f t="shared" si="23"/>
        <v>160</v>
      </c>
      <c r="C710" s="5">
        <f t="shared" si="24"/>
        <v>1.2599999999999944E-3</v>
      </c>
      <c r="D710">
        <v>2.4083000000000001</v>
      </c>
      <c r="E710" s="1">
        <f t="shared" si="25"/>
        <v>1.0013888888888873</v>
      </c>
      <c r="F710" s="3">
        <v>46166</v>
      </c>
    </row>
    <row r="711" spans="1:6" x14ac:dyDescent="0.3">
      <c r="A711" t="s">
        <v>85</v>
      </c>
      <c r="B711">
        <f t="shared" si="23"/>
        <v>160</v>
      </c>
      <c r="C711" s="5">
        <f t="shared" si="24"/>
        <v>8.8500000000000243E-4</v>
      </c>
      <c r="D711">
        <v>2.2153999999999998</v>
      </c>
      <c r="E711" s="1">
        <f t="shared" si="25"/>
        <v>1.0013888888888873</v>
      </c>
      <c r="F711" s="3">
        <v>46166</v>
      </c>
    </row>
    <row r="712" spans="1:6" x14ac:dyDescent="0.3">
      <c r="A712" t="s">
        <v>86</v>
      </c>
      <c r="B712">
        <f t="shared" si="23"/>
        <v>160</v>
      </c>
      <c r="C712" s="5">
        <f t="shared" si="24"/>
        <v>1.2550000000000061E-3</v>
      </c>
      <c r="D712">
        <v>3.1553</v>
      </c>
      <c r="E712" s="1">
        <f t="shared" si="25"/>
        <v>1.0020833333333317</v>
      </c>
      <c r="F712" s="3">
        <v>46166</v>
      </c>
    </row>
    <row r="713" spans="1:6" x14ac:dyDescent="0.3">
      <c r="A713" t="s">
        <v>78</v>
      </c>
      <c r="B713">
        <f t="shared" si="23"/>
        <v>180</v>
      </c>
      <c r="C713" s="5">
        <f t="shared" si="24"/>
        <v>8.3999999999999635E-4</v>
      </c>
      <c r="D713">
        <v>1.2866</v>
      </c>
      <c r="E713" s="1">
        <f t="shared" si="25"/>
        <v>1.0013888888888873</v>
      </c>
      <c r="F713" s="3">
        <v>46166</v>
      </c>
    </row>
    <row r="714" spans="1:6" x14ac:dyDescent="0.3">
      <c r="A714" t="s">
        <v>79</v>
      </c>
      <c r="B714">
        <f t="shared" si="23"/>
        <v>180</v>
      </c>
      <c r="C714" s="5">
        <f t="shared" si="24"/>
        <v>3.2499999999999749E-4</v>
      </c>
      <c r="D714">
        <v>1.1173</v>
      </c>
      <c r="E714" s="1">
        <f t="shared" si="25"/>
        <v>1.0020833333333317</v>
      </c>
      <c r="F714" s="3">
        <v>46166</v>
      </c>
    </row>
    <row r="715" spans="1:6" x14ac:dyDescent="0.3">
      <c r="A715" t="s">
        <v>80</v>
      </c>
      <c r="B715">
        <f t="shared" si="23"/>
        <v>180</v>
      </c>
      <c r="C715" s="5">
        <f t="shared" si="24"/>
        <v>7.8000000000000291E-4</v>
      </c>
      <c r="D715">
        <v>2.2797000000000001</v>
      </c>
      <c r="E715" s="1">
        <f t="shared" si="25"/>
        <v>1.0138888888888873</v>
      </c>
      <c r="F715" s="3">
        <v>46166</v>
      </c>
    </row>
    <row r="716" spans="1:6" x14ac:dyDescent="0.3">
      <c r="A716" t="s">
        <v>81</v>
      </c>
      <c r="B716">
        <f t="shared" si="23"/>
        <v>180</v>
      </c>
      <c r="C716" s="5">
        <f t="shared" si="24"/>
        <v>6.7499999999999223E-4</v>
      </c>
      <c r="D716">
        <v>1.8038000000000001</v>
      </c>
      <c r="E716" s="1">
        <f t="shared" si="25"/>
        <v>1.0145833333333316</v>
      </c>
      <c r="F716" s="3">
        <v>46166</v>
      </c>
    </row>
    <row r="717" spans="1:6" x14ac:dyDescent="0.3">
      <c r="A717" t="s">
        <v>82</v>
      </c>
      <c r="B717">
        <f t="shared" si="23"/>
        <v>180</v>
      </c>
      <c r="C717" s="5">
        <f t="shared" si="24"/>
        <v>5.9000000000000166E-4</v>
      </c>
      <c r="D717">
        <v>1.2005999999999999</v>
      </c>
      <c r="E717" s="1">
        <f t="shared" si="25"/>
        <v>1.0145833333333316</v>
      </c>
      <c r="F717" s="3">
        <v>46166</v>
      </c>
    </row>
    <row r="718" spans="1:6" x14ac:dyDescent="0.3">
      <c r="A718" t="s">
        <v>83</v>
      </c>
      <c r="B718">
        <f t="shared" si="23"/>
        <v>180</v>
      </c>
      <c r="C718" s="5">
        <f t="shared" si="24"/>
        <v>8.2499999999999794E-4</v>
      </c>
      <c r="D718">
        <v>1.7009000000000001</v>
      </c>
      <c r="E718" s="1">
        <f t="shared" si="25"/>
        <v>1.0152777777777762</v>
      </c>
      <c r="F718" s="3">
        <v>46166</v>
      </c>
    </row>
    <row r="719" spans="1:6" x14ac:dyDescent="0.3">
      <c r="A719" t="s">
        <v>84</v>
      </c>
      <c r="B719">
        <f t="shared" si="23"/>
        <v>180</v>
      </c>
      <c r="C719" s="5">
        <f t="shared" si="24"/>
        <v>1.2800000000000144E-3</v>
      </c>
      <c r="D719">
        <v>2.3826999999999998</v>
      </c>
      <c r="E719" s="1">
        <f t="shared" si="25"/>
        <v>1.0152777777777762</v>
      </c>
      <c r="F719" s="3">
        <v>46166</v>
      </c>
    </row>
    <row r="720" spans="1:6" x14ac:dyDescent="0.3">
      <c r="A720" t="s">
        <v>85</v>
      </c>
      <c r="B720">
        <f t="shared" si="23"/>
        <v>180</v>
      </c>
      <c r="C720" s="5">
        <f t="shared" si="24"/>
        <v>8.1499999999998793E-4</v>
      </c>
      <c r="D720">
        <v>2.1991000000000001</v>
      </c>
      <c r="E720" s="1">
        <f t="shared" si="25"/>
        <v>1.0152777777777762</v>
      </c>
      <c r="F720" s="3">
        <v>46166</v>
      </c>
    </row>
    <row r="721" spans="1:6" x14ac:dyDescent="0.3">
      <c r="A721" t="s">
        <v>86</v>
      </c>
      <c r="B721">
        <f t="shared" si="23"/>
        <v>180</v>
      </c>
      <c r="C721" s="5">
        <f t="shared" si="24"/>
        <v>1.2049999999999895E-3</v>
      </c>
      <c r="D721">
        <v>3.1312000000000002</v>
      </c>
      <c r="E721" s="1">
        <f t="shared" si="25"/>
        <v>1.0159722222222205</v>
      </c>
      <c r="F721" s="3">
        <v>46166</v>
      </c>
    </row>
    <row r="722" spans="1:6" x14ac:dyDescent="0.3">
      <c r="A722" t="s">
        <v>78</v>
      </c>
      <c r="B722">
        <f t="shared" si="23"/>
        <v>200</v>
      </c>
      <c r="C722" s="5">
        <f t="shared" si="24"/>
        <v>8.3999999999999635E-4</v>
      </c>
      <c r="D722">
        <v>1.2698</v>
      </c>
      <c r="E722" s="1">
        <f t="shared" si="25"/>
        <v>1.0152777777777762</v>
      </c>
      <c r="F722" s="3">
        <v>46166</v>
      </c>
    </row>
    <row r="723" spans="1:6" x14ac:dyDescent="0.3">
      <c r="A723" t="s">
        <v>79</v>
      </c>
      <c r="B723">
        <f t="shared" si="23"/>
        <v>200</v>
      </c>
      <c r="C723" s="5">
        <f t="shared" si="24"/>
        <v>3.1999999999999807E-4</v>
      </c>
      <c r="D723">
        <v>1.1109</v>
      </c>
      <c r="E723" s="1">
        <f t="shared" si="25"/>
        <v>1.0159722222222205</v>
      </c>
      <c r="F723" s="3">
        <v>46166</v>
      </c>
    </row>
    <row r="724" spans="1:6" x14ac:dyDescent="0.3">
      <c r="A724" t="s">
        <v>80</v>
      </c>
      <c r="B724">
        <f t="shared" si="23"/>
        <v>200</v>
      </c>
      <c r="C724" s="5">
        <f t="shared" si="24"/>
        <v>7.9000000000000186E-4</v>
      </c>
      <c r="D724">
        <v>2.2639</v>
      </c>
      <c r="E724" s="1">
        <f t="shared" si="25"/>
        <v>1.0277777777777761</v>
      </c>
      <c r="F724" s="3">
        <v>46166</v>
      </c>
    </row>
    <row r="725" spans="1:6" x14ac:dyDescent="0.3">
      <c r="A725" t="s">
        <v>81</v>
      </c>
      <c r="B725">
        <f t="shared" si="23"/>
        <v>200</v>
      </c>
      <c r="C725" s="5">
        <f t="shared" si="24"/>
        <v>6.4000000000000721E-4</v>
      </c>
      <c r="D725">
        <v>1.7909999999999999</v>
      </c>
      <c r="E725" s="1">
        <f t="shared" si="25"/>
        <v>1.0284722222222205</v>
      </c>
      <c r="F725" s="3">
        <v>46166</v>
      </c>
    </row>
    <row r="726" spans="1:6" x14ac:dyDescent="0.3">
      <c r="A726" t="s">
        <v>82</v>
      </c>
      <c r="B726">
        <f t="shared" si="23"/>
        <v>200</v>
      </c>
      <c r="C726" s="5">
        <f t="shared" si="24"/>
        <v>6.2999999999999721E-4</v>
      </c>
      <c r="D726">
        <v>1.1879999999999999</v>
      </c>
      <c r="E726" s="1">
        <f t="shared" si="25"/>
        <v>1.0284722222222205</v>
      </c>
      <c r="F726" s="3">
        <v>46166</v>
      </c>
    </row>
    <row r="727" spans="1:6" x14ac:dyDescent="0.3">
      <c r="A727" t="s">
        <v>83</v>
      </c>
      <c r="B727">
        <f t="shared" si="23"/>
        <v>200</v>
      </c>
      <c r="C727" s="5">
        <f t="shared" si="24"/>
        <v>7.4500000000000672E-4</v>
      </c>
      <c r="D727">
        <v>1.6859999999999999</v>
      </c>
      <c r="E727" s="1">
        <f t="shared" si="25"/>
        <v>1.029166666666665</v>
      </c>
      <c r="F727" s="3">
        <v>46166</v>
      </c>
    </row>
    <row r="728" spans="1:6" x14ac:dyDescent="0.3">
      <c r="A728" t="s">
        <v>84</v>
      </c>
      <c r="B728">
        <f t="shared" si="23"/>
        <v>200</v>
      </c>
      <c r="C728" s="5">
        <f t="shared" si="24"/>
        <v>1.3399999999999857E-3</v>
      </c>
      <c r="D728">
        <v>2.3559000000000001</v>
      </c>
      <c r="E728" s="1">
        <f t="shared" si="25"/>
        <v>1.029166666666665</v>
      </c>
      <c r="F728" s="3">
        <v>46166</v>
      </c>
    </row>
    <row r="729" spans="1:6" x14ac:dyDescent="0.3">
      <c r="A729" t="s">
        <v>85</v>
      </c>
      <c r="B729">
        <f t="shared" si="23"/>
        <v>200</v>
      </c>
      <c r="C729" s="5">
        <f t="shared" si="24"/>
        <v>7.7499999999999238E-4</v>
      </c>
      <c r="D729">
        <v>2.1836000000000002</v>
      </c>
      <c r="E729" s="1">
        <f t="shared" si="25"/>
        <v>1.029166666666665</v>
      </c>
      <c r="F729" s="3">
        <v>46166</v>
      </c>
    </row>
    <row r="730" spans="1:6" x14ac:dyDescent="0.3">
      <c r="A730" t="s">
        <v>86</v>
      </c>
      <c r="B730">
        <f t="shared" si="23"/>
        <v>200</v>
      </c>
      <c r="C730" s="5">
        <f t="shared" si="24"/>
        <v>1.2050000000000116E-3</v>
      </c>
      <c r="D730">
        <v>3.1071</v>
      </c>
      <c r="E730" s="1">
        <f t="shared" si="25"/>
        <v>1.0298611111111093</v>
      </c>
      <c r="F730" s="3">
        <v>46166</v>
      </c>
    </row>
    <row r="731" spans="1:6" x14ac:dyDescent="0.3">
      <c r="A731" t="s">
        <v>78</v>
      </c>
      <c r="B731">
        <f t="shared" si="23"/>
        <v>220</v>
      </c>
      <c r="C731" s="5">
        <f t="shared" si="24"/>
        <v>8.6000000000000518E-4</v>
      </c>
      <c r="D731">
        <v>1.2525999999999999</v>
      </c>
      <c r="E731" s="1">
        <f t="shared" si="25"/>
        <v>1.029166666666665</v>
      </c>
      <c r="F731" s="3">
        <v>46166</v>
      </c>
    </row>
    <row r="732" spans="1:6" x14ac:dyDescent="0.3">
      <c r="A732" t="s">
        <v>79</v>
      </c>
      <c r="B732">
        <f t="shared" si="23"/>
        <v>220</v>
      </c>
      <c r="C732" s="5">
        <f t="shared" si="24"/>
        <v>3.5500000000000532E-4</v>
      </c>
      <c r="D732">
        <v>1.1037999999999999</v>
      </c>
      <c r="E732" s="1">
        <f t="shared" si="25"/>
        <v>1.0298611111111093</v>
      </c>
      <c r="F732" s="3">
        <v>46166</v>
      </c>
    </row>
    <row r="733" spans="1:6" x14ac:dyDescent="0.3">
      <c r="A733" t="s">
        <v>80</v>
      </c>
      <c r="B733">
        <f t="shared" si="23"/>
        <v>220</v>
      </c>
      <c r="C733" s="5">
        <f t="shared" si="24"/>
        <v>8.6500000000000465E-4</v>
      </c>
      <c r="D733">
        <v>2.2465999999999999</v>
      </c>
      <c r="E733" s="1">
        <f t="shared" si="25"/>
        <v>1.041666666666665</v>
      </c>
      <c r="F733" s="3">
        <v>46166</v>
      </c>
    </row>
    <row r="734" spans="1:6" x14ac:dyDescent="0.3">
      <c r="A734" t="s">
        <v>81</v>
      </c>
      <c r="B734">
        <f t="shared" si="23"/>
        <v>220</v>
      </c>
      <c r="C734" s="5">
        <f t="shared" si="24"/>
        <v>6.649999999999934E-4</v>
      </c>
      <c r="D734">
        <v>1.7777000000000001</v>
      </c>
      <c r="E734" s="1">
        <f t="shared" si="25"/>
        <v>1.0423611111111093</v>
      </c>
      <c r="F734" s="3">
        <v>46166</v>
      </c>
    </row>
    <row r="735" spans="1:6" x14ac:dyDescent="0.3">
      <c r="A735" t="s">
        <v>82</v>
      </c>
      <c r="B735">
        <f t="shared" si="23"/>
        <v>220</v>
      </c>
      <c r="C735" s="5">
        <f t="shared" si="24"/>
        <v>5.8000000000000271E-4</v>
      </c>
      <c r="D735">
        <v>1.1763999999999999</v>
      </c>
      <c r="E735" s="1">
        <f t="shared" si="25"/>
        <v>1.0423611111111093</v>
      </c>
      <c r="F735" s="3">
        <v>46166</v>
      </c>
    </row>
    <row r="736" spans="1:6" x14ac:dyDescent="0.3">
      <c r="A736" t="s">
        <v>83</v>
      </c>
      <c r="B736">
        <f t="shared" si="23"/>
        <v>220</v>
      </c>
      <c r="C736" s="5">
        <f t="shared" si="24"/>
        <v>7.4499999999999567E-4</v>
      </c>
      <c r="D736">
        <v>1.6711</v>
      </c>
      <c r="E736" s="1">
        <f t="shared" si="25"/>
        <v>1.0430555555555538</v>
      </c>
      <c r="F736" s="3">
        <v>46166</v>
      </c>
    </row>
    <row r="737" spans="1:6" x14ac:dyDescent="0.3">
      <c r="A737" t="s">
        <v>84</v>
      </c>
      <c r="B737">
        <f t="shared" si="23"/>
        <v>220</v>
      </c>
      <c r="C737" s="5">
        <f t="shared" si="24"/>
        <v>1.1500000000000065E-3</v>
      </c>
      <c r="D737">
        <v>2.3329</v>
      </c>
      <c r="E737" s="1">
        <f t="shared" si="25"/>
        <v>1.0430555555555538</v>
      </c>
      <c r="F737" s="3">
        <v>46166</v>
      </c>
    </row>
    <row r="738" spans="1:6" x14ac:dyDescent="0.3">
      <c r="A738" t="s">
        <v>85</v>
      </c>
      <c r="B738">
        <f t="shared" si="23"/>
        <v>220</v>
      </c>
      <c r="C738" s="5">
        <f t="shared" si="24"/>
        <v>7.9000000000000186E-4</v>
      </c>
      <c r="D738">
        <v>2.1678000000000002</v>
      </c>
      <c r="E738" s="1">
        <f t="shared" si="25"/>
        <v>1.0430555555555538</v>
      </c>
      <c r="F738" s="3">
        <v>46166</v>
      </c>
    </row>
    <row r="739" spans="1:6" x14ac:dyDescent="0.3">
      <c r="A739" t="s">
        <v>86</v>
      </c>
      <c r="B739">
        <f t="shared" si="23"/>
        <v>220</v>
      </c>
      <c r="C739" s="5">
        <f t="shared" si="24"/>
        <v>1.0750000000000037E-3</v>
      </c>
      <c r="D739">
        <v>3.0855999999999999</v>
      </c>
      <c r="E739" s="1">
        <f t="shared" si="25"/>
        <v>1.0437499999999982</v>
      </c>
      <c r="F739" s="3">
        <v>46166</v>
      </c>
    </row>
    <row r="740" spans="1:6" x14ac:dyDescent="0.3">
      <c r="A740" t="s">
        <v>78</v>
      </c>
      <c r="B740">
        <f t="shared" si="23"/>
        <v>240</v>
      </c>
      <c r="C740" s="5">
        <f t="shared" si="24"/>
        <v>7.1999999999999842E-4</v>
      </c>
      <c r="D740">
        <v>1.2382</v>
      </c>
      <c r="E740" s="1">
        <f t="shared" si="25"/>
        <v>1.0430555555555538</v>
      </c>
      <c r="F740" s="3">
        <v>46166</v>
      </c>
    </row>
    <row r="741" spans="1:6" x14ac:dyDescent="0.3">
      <c r="A741" t="s">
        <v>79</v>
      </c>
      <c r="B741">
        <f t="shared" si="23"/>
        <v>240</v>
      </c>
      <c r="C741" s="5">
        <f t="shared" si="24"/>
        <v>3.0499999999999972E-4</v>
      </c>
      <c r="D741">
        <v>1.0976999999999999</v>
      </c>
      <c r="E741" s="1">
        <f t="shared" si="25"/>
        <v>1.0437499999999982</v>
      </c>
      <c r="F741" s="3">
        <v>46166</v>
      </c>
    </row>
    <row r="742" spans="1:6" x14ac:dyDescent="0.3">
      <c r="A742" t="s">
        <v>80</v>
      </c>
      <c r="B742">
        <f t="shared" ref="B742:B757" si="26">B733+20</f>
        <v>240</v>
      </c>
      <c r="C742" s="5">
        <f t="shared" si="24"/>
        <v>6.8999999999999064E-4</v>
      </c>
      <c r="D742">
        <v>2.2328000000000001</v>
      </c>
      <c r="E742" s="1">
        <f t="shared" si="25"/>
        <v>1.0555555555555538</v>
      </c>
      <c r="F742" s="3">
        <v>46166</v>
      </c>
    </row>
    <row r="743" spans="1:6" x14ac:dyDescent="0.3">
      <c r="A743" t="s">
        <v>81</v>
      </c>
      <c r="B743">
        <f t="shared" si="26"/>
        <v>240</v>
      </c>
      <c r="C743" s="5">
        <f t="shared" si="24"/>
        <v>5.7500000000000324E-4</v>
      </c>
      <c r="D743">
        <v>1.7662</v>
      </c>
      <c r="E743" s="1">
        <f t="shared" si="25"/>
        <v>1.0562499999999981</v>
      </c>
      <c r="F743" s="3">
        <v>46166</v>
      </c>
    </row>
    <row r="744" spans="1:6" x14ac:dyDescent="0.3">
      <c r="A744" t="s">
        <v>82</v>
      </c>
      <c r="B744">
        <f t="shared" si="26"/>
        <v>240</v>
      </c>
      <c r="C744" s="5">
        <f t="shared" si="24"/>
        <v>5.4999999999999494E-4</v>
      </c>
      <c r="D744">
        <v>1.1654</v>
      </c>
      <c r="E744" s="1">
        <f t="shared" si="25"/>
        <v>1.0562499999999981</v>
      </c>
      <c r="F744" s="3">
        <v>46166</v>
      </c>
    </row>
    <row r="745" spans="1:6" x14ac:dyDescent="0.3">
      <c r="A745" t="s">
        <v>83</v>
      </c>
      <c r="B745">
        <f t="shared" si="26"/>
        <v>240</v>
      </c>
      <c r="C745" s="5">
        <f t="shared" si="24"/>
        <v>6.4500000000000668E-4</v>
      </c>
      <c r="D745">
        <v>1.6581999999999999</v>
      </c>
      <c r="E745" s="1">
        <f t="shared" si="25"/>
        <v>1.0569444444444427</v>
      </c>
      <c r="F745" s="3">
        <v>46166</v>
      </c>
    </row>
    <row r="746" spans="1:6" x14ac:dyDescent="0.3">
      <c r="A746" t="s">
        <v>84</v>
      </c>
      <c r="B746">
        <f t="shared" si="26"/>
        <v>240</v>
      </c>
      <c r="C746" s="5">
        <f t="shared" si="24"/>
        <v>1.1949999999999906E-3</v>
      </c>
      <c r="D746">
        <v>2.3090000000000002</v>
      </c>
      <c r="E746" s="1">
        <f t="shared" si="25"/>
        <v>1.0569444444444427</v>
      </c>
      <c r="F746" s="3">
        <v>46166</v>
      </c>
    </row>
    <row r="747" spans="1:6" x14ac:dyDescent="0.3">
      <c r="A747" t="s">
        <v>85</v>
      </c>
      <c r="B747">
        <f t="shared" si="26"/>
        <v>240</v>
      </c>
      <c r="C747" s="5">
        <f t="shared" si="24"/>
        <v>6.250000000000089E-4</v>
      </c>
      <c r="D747">
        <v>2.1553</v>
      </c>
      <c r="E747" s="1">
        <f t="shared" si="25"/>
        <v>1.0569444444444427</v>
      </c>
      <c r="F747" s="3">
        <v>46166</v>
      </c>
    </row>
    <row r="748" spans="1:6" x14ac:dyDescent="0.3">
      <c r="A748" t="s">
        <v>86</v>
      </c>
      <c r="B748">
        <f t="shared" si="26"/>
        <v>240</v>
      </c>
      <c r="C748" s="5">
        <f t="shared" si="24"/>
        <v>1.1199999999999878E-3</v>
      </c>
      <c r="D748">
        <v>3.0632000000000001</v>
      </c>
      <c r="E748" s="1">
        <f t="shared" si="25"/>
        <v>1.057638888888887</v>
      </c>
      <c r="F748" s="3">
        <v>46166</v>
      </c>
    </row>
    <row r="749" spans="1:6" x14ac:dyDescent="0.3">
      <c r="A749" t="s">
        <v>78</v>
      </c>
      <c r="B749">
        <f t="shared" si="26"/>
        <v>260</v>
      </c>
      <c r="C749" s="5">
        <f t="shared" si="24"/>
        <v>6.8500000000000223E-4</v>
      </c>
      <c r="D749">
        <v>1.2244999999999999</v>
      </c>
      <c r="E749" s="1">
        <f t="shared" si="25"/>
        <v>1.0569444444444427</v>
      </c>
      <c r="F749" s="3">
        <v>46166</v>
      </c>
    </row>
    <row r="750" spans="1:6" x14ac:dyDescent="0.3">
      <c r="A750" t="s">
        <v>79</v>
      </c>
      <c r="B750">
        <f t="shared" si="26"/>
        <v>260</v>
      </c>
      <c r="C750" s="5">
        <f t="shared" si="24"/>
        <v>3.2499999999999749E-4</v>
      </c>
      <c r="D750">
        <v>1.0911999999999999</v>
      </c>
      <c r="E750" s="1">
        <f t="shared" si="25"/>
        <v>1.057638888888887</v>
      </c>
      <c r="F750" s="3">
        <v>46166</v>
      </c>
    </row>
    <row r="751" spans="1:6" x14ac:dyDescent="0.3">
      <c r="A751" t="s">
        <v>80</v>
      </c>
      <c r="B751">
        <f t="shared" si="26"/>
        <v>260</v>
      </c>
      <c r="C751" s="5">
        <f t="shared" si="24"/>
        <v>6.8500000000000223E-4</v>
      </c>
      <c r="D751">
        <v>2.2191000000000001</v>
      </c>
      <c r="E751" s="1">
        <f t="shared" si="25"/>
        <v>1.0694444444444426</v>
      </c>
      <c r="F751" s="3">
        <v>46166</v>
      </c>
    </row>
    <row r="752" spans="1:6" x14ac:dyDescent="0.3">
      <c r="A752" t="s">
        <v>81</v>
      </c>
      <c r="B752">
        <f t="shared" si="26"/>
        <v>260</v>
      </c>
      <c r="C752" s="5">
        <f t="shared" si="24"/>
        <v>5.39999999999996E-4</v>
      </c>
      <c r="D752">
        <v>1.7554000000000001</v>
      </c>
      <c r="E752" s="1">
        <f t="shared" si="25"/>
        <v>1.070138888888887</v>
      </c>
      <c r="F752" s="3">
        <v>46166</v>
      </c>
    </row>
    <row r="753" spans="1:6" x14ac:dyDescent="0.3">
      <c r="A753" t="s">
        <v>82</v>
      </c>
      <c r="B753">
        <f t="shared" si="26"/>
        <v>260</v>
      </c>
      <c r="C753" s="5">
        <f t="shared" si="24"/>
        <v>5.1999999999999822E-4</v>
      </c>
      <c r="D753">
        <v>1.155</v>
      </c>
      <c r="E753" s="1">
        <f t="shared" si="25"/>
        <v>1.070138888888887</v>
      </c>
      <c r="F753" s="3">
        <v>46166</v>
      </c>
    </row>
    <row r="754" spans="1:6" x14ac:dyDescent="0.3">
      <c r="A754" t="s">
        <v>83</v>
      </c>
      <c r="B754">
        <f t="shared" si="26"/>
        <v>260</v>
      </c>
      <c r="C754" s="5">
        <f t="shared" si="24"/>
        <v>6.6999999999999287E-4</v>
      </c>
      <c r="D754">
        <v>1.6448</v>
      </c>
      <c r="E754" s="1">
        <f t="shared" si="25"/>
        <v>1.0708333333333315</v>
      </c>
      <c r="F754" s="3">
        <v>46166</v>
      </c>
    </row>
    <row r="755" spans="1:6" x14ac:dyDescent="0.3">
      <c r="A755" t="s">
        <v>84</v>
      </c>
      <c r="B755">
        <f t="shared" si="26"/>
        <v>260</v>
      </c>
      <c r="C755" s="5">
        <f t="shared" si="24"/>
        <v>1.0800000000000143E-3</v>
      </c>
      <c r="D755">
        <v>2.2873999999999999</v>
      </c>
      <c r="E755" s="1">
        <f t="shared" si="25"/>
        <v>1.0708333333333315</v>
      </c>
      <c r="F755" s="3">
        <v>46166</v>
      </c>
    </row>
    <row r="756" spans="1:6" x14ac:dyDescent="0.3">
      <c r="A756" t="s">
        <v>85</v>
      </c>
      <c r="B756">
        <f t="shared" si="26"/>
        <v>260</v>
      </c>
      <c r="C756" s="5">
        <f t="shared" si="24"/>
        <v>6.250000000000089E-4</v>
      </c>
      <c r="D756">
        <v>2.1427999999999998</v>
      </c>
      <c r="E756" s="1">
        <f t="shared" si="25"/>
        <v>1.0708333333333315</v>
      </c>
      <c r="F756" s="3">
        <v>46166</v>
      </c>
    </row>
    <row r="757" spans="1:6" x14ac:dyDescent="0.3">
      <c r="A757" t="s">
        <v>86</v>
      </c>
      <c r="B757">
        <f t="shared" si="26"/>
        <v>260</v>
      </c>
      <c r="C757" s="5">
        <f t="shared" si="24"/>
        <v>1.0199999999999988E-3</v>
      </c>
      <c r="D757">
        <v>3.0428000000000002</v>
      </c>
      <c r="E757" s="1">
        <f t="shared" si="25"/>
        <v>1.0715277777777759</v>
      </c>
      <c r="F757" s="3">
        <v>46166</v>
      </c>
    </row>
    <row r="758" spans="1:6" x14ac:dyDescent="0.3">
      <c r="A758" t="s">
        <v>93</v>
      </c>
      <c r="B758">
        <v>0</v>
      </c>
      <c r="C758">
        <v>0</v>
      </c>
      <c r="D758">
        <v>2.8340999999999998</v>
      </c>
      <c r="E758" s="1">
        <v>0.36319444444444443</v>
      </c>
      <c r="F758" s="3">
        <v>46168</v>
      </c>
    </row>
    <row r="759" spans="1:6" x14ac:dyDescent="0.3">
      <c r="A759" t="s">
        <v>94</v>
      </c>
      <c r="B759">
        <v>0</v>
      </c>
      <c r="C759">
        <v>0</v>
      </c>
      <c r="D759">
        <v>1.8411999999999999</v>
      </c>
      <c r="E759" s="1">
        <f>E750+(11/1440)</f>
        <v>1.065277777777776</v>
      </c>
      <c r="F759" s="3">
        <v>46168</v>
      </c>
    </row>
    <row r="760" spans="1:6" x14ac:dyDescent="0.3">
      <c r="A760" t="s">
        <v>95</v>
      </c>
      <c r="B760">
        <v>0</v>
      </c>
      <c r="C760">
        <v>0</v>
      </c>
      <c r="D760">
        <v>2.9853000000000001</v>
      </c>
      <c r="E760" s="1">
        <f t="shared" ref="E760:E766" si="27">E751+(11/1440)</f>
        <v>1.0770833333333316</v>
      </c>
      <c r="F760" s="3">
        <v>46168</v>
      </c>
    </row>
    <row r="761" spans="1:6" x14ac:dyDescent="0.3">
      <c r="A761" t="s">
        <v>87</v>
      </c>
      <c r="B761">
        <v>0</v>
      </c>
      <c r="C761">
        <v>0</v>
      </c>
      <c r="D761">
        <v>1.6089</v>
      </c>
      <c r="E761" s="1">
        <f t="shared" si="27"/>
        <v>1.0777777777777759</v>
      </c>
      <c r="F761" s="3">
        <v>46168</v>
      </c>
    </row>
    <row r="762" spans="1:6" x14ac:dyDescent="0.3">
      <c r="A762" t="s">
        <v>88</v>
      </c>
      <c r="B762">
        <v>0</v>
      </c>
      <c r="C762">
        <v>0</v>
      </c>
      <c r="D762">
        <v>1.4167000000000001</v>
      </c>
      <c r="E762" s="1">
        <f t="shared" si="27"/>
        <v>1.0777777777777759</v>
      </c>
      <c r="F762" s="3">
        <v>46168</v>
      </c>
    </row>
    <row r="763" spans="1:6" x14ac:dyDescent="0.3">
      <c r="A763" t="s">
        <v>89</v>
      </c>
      <c r="B763">
        <v>0</v>
      </c>
      <c r="C763">
        <v>0</v>
      </c>
      <c r="D763">
        <v>0.95720000000000005</v>
      </c>
      <c r="E763" s="1">
        <f t="shared" si="27"/>
        <v>1.0784722222222205</v>
      </c>
      <c r="F763" s="3">
        <v>46168</v>
      </c>
    </row>
    <row r="764" spans="1:6" x14ac:dyDescent="0.3">
      <c r="A764" t="s">
        <v>90</v>
      </c>
      <c r="B764">
        <v>0</v>
      </c>
      <c r="C764">
        <v>0</v>
      </c>
      <c r="D764">
        <v>2.9689999999999999</v>
      </c>
      <c r="E764" s="1">
        <f t="shared" si="27"/>
        <v>1.0784722222222205</v>
      </c>
      <c r="F764" s="3">
        <v>46168</v>
      </c>
    </row>
    <row r="765" spans="1:6" x14ac:dyDescent="0.3">
      <c r="A765" t="s">
        <v>91</v>
      </c>
      <c r="B765">
        <v>0</v>
      </c>
      <c r="C765">
        <v>0</v>
      </c>
      <c r="D765">
        <v>1.5911</v>
      </c>
      <c r="E765" s="1">
        <f t="shared" si="27"/>
        <v>1.0784722222222205</v>
      </c>
      <c r="F765" s="3">
        <v>46168</v>
      </c>
    </row>
    <row r="766" spans="1:6" x14ac:dyDescent="0.3">
      <c r="A766" t="s">
        <v>92</v>
      </c>
      <c r="B766">
        <v>0</v>
      </c>
      <c r="C766">
        <v>0</v>
      </c>
      <c r="D766">
        <v>2.0272000000000001</v>
      </c>
      <c r="E766" s="1">
        <f t="shared" si="27"/>
        <v>1.0791666666666648</v>
      </c>
      <c r="F766" s="3">
        <v>46168</v>
      </c>
    </row>
    <row r="767" spans="1:6" x14ac:dyDescent="0.3">
      <c r="A767" t="s">
        <v>93</v>
      </c>
      <c r="B767">
        <f>B758+20</f>
        <v>20</v>
      </c>
      <c r="C767">
        <f>(D758-D767)/20</f>
        <v>1.3349999999999972E-3</v>
      </c>
      <c r="D767">
        <v>2.8073999999999999</v>
      </c>
      <c r="E767" s="1">
        <f>E758+(20/1440)</f>
        <v>0.37708333333333333</v>
      </c>
      <c r="F767" s="3">
        <v>46168</v>
      </c>
    </row>
    <row r="768" spans="1:6" x14ac:dyDescent="0.3">
      <c r="A768" t="s">
        <v>94</v>
      </c>
      <c r="B768">
        <f t="shared" ref="B768:B831" si="28">B759+20</f>
        <v>20</v>
      </c>
      <c r="C768">
        <f t="shared" ref="C768:C831" si="29">(D759-D768)/20</f>
        <v>8.4999999999999518E-4</v>
      </c>
      <c r="D768">
        <v>1.8242</v>
      </c>
      <c r="E768" s="1">
        <f t="shared" ref="E768:E831" si="30">E759+(20/1440)</f>
        <v>1.0791666666666648</v>
      </c>
      <c r="F768" s="3">
        <v>46168</v>
      </c>
    </row>
    <row r="769" spans="1:6" x14ac:dyDescent="0.3">
      <c r="A769" t="s">
        <v>95</v>
      </c>
      <c r="B769">
        <f t="shared" si="28"/>
        <v>20</v>
      </c>
      <c r="C769">
        <f t="shared" si="29"/>
        <v>1.1349999999999971E-3</v>
      </c>
      <c r="D769">
        <v>2.9626000000000001</v>
      </c>
      <c r="E769" s="1">
        <f t="shared" si="30"/>
        <v>1.0909722222222205</v>
      </c>
      <c r="F769" s="3">
        <v>46168</v>
      </c>
    </row>
    <row r="770" spans="1:6" x14ac:dyDescent="0.3">
      <c r="A770" t="s">
        <v>87</v>
      </c>
      <c r="B770">
        <f t="shared" si="28"/>
        <v>20</v>
      </c>
      <c r="C770">
        <f t="shared" si="29"/>
        <v>1.0650000000000047E-3</v>
      </c>
      <c r="D770">
        <v>1.5875999999999999</v>
      </c>
      <c r="E770" s="1">
        <f t="shared" si="30"/>
        <v>1.0916666666666648</v>
      </c>
      <c r="F770" s="3">
        <v>46168</v>
      </c>
    </row>
    <row r="771" spans="1:6" x14ac:dyDescent="0.3">
      <c r="A771" t="s">
        <v>88</v>
      </c>
      <c r="B771">
        <f t="shared" si="28"/>
        <v>20</v>
      </c>
      <c r="C771">
        <f t="shared" si="29"/>
        <v>6.8000000000000287E-4</v>
      </c>
      <c r="D771">
        <v>1.4031</v>
      </c>
      <c r="E771" s="1">
        <f t="shared" si="30"/>
        <v>1.0916666666666648</v>
      </c>
      <c r="F771" s="3">
        <v>46168</v>
      </c>
    </row>
    <row r="772" spans="1:6" x14ac:dyDescent="0.3">
      <c r="A772" t="s">
        <v>89</v>
      </c>
      <c r="B772">
        <f t="shared" si="28"/>
        <v>20</v>
      </c>
      <c r="C772">
        <f t="shared" si="29"/>
        <v>4.0499999999999982E-4</v>
      </c>
      <c r="D772">
        <v>0.94910000000000005</v>
      </c>
      <c r="E772" s="1">
        <f t="shared" si="30"/>
        <v>1.0923611111111093</v>
      </c>
      <c r="F772" s="3">
        <v>46168</v>
      </c>
    </row>
    <row r="773" spans="1:6" x14ac:dyDescent="0.3">
      <c r="A773" t="s">
        <v>90</v>
      </c>
      <c r="B773">
        <f t="shared" si="28"/>
        <v>20</v>
      </c>
      <c r="C773">
        <f t="shared" si="29"/>
        <v>9.80000000000003E-4</v>
      </c>
      <c r="D773">
        <v>2.9493999999999998</v>
      </c>
      <c r="E773" s="1">
        <f t="shared" si="30"/>
        <v>1.0923611111111093</v>
      </c>
      <c r="F773" s="3">
        <v>46168</v>
      </c>
    </row>
    <row r="774" spans="1:6" x14ac:dyDescent="0.3">
      <c r="A774" t="s">
        <v>91</v>
      </c>
      <c r="B774">
        <f t="shared" si="28"/>
        <v>20</v>
      </c>
      <c r="C774">
        <f t="shared" si="29"/>
        <v>5.8000000000000271E-4</v>
      </c>
      <c r="D774">
        <v>1.5794999999999999</v>
      </c>
      <c r="E774" s="1">
        <f t="shared" si="30"/>
        <v>1.0923611111111093</v>
      </c>
      <c r="F774" s="3">
        <v>46168</v>
      </c>
    </row>
    <row r="775" spans="1:6" x14ac:dyDescent="0.3">
      <c r="A775" t="s">
        <v>92</v>
      </c>
      <c r="B775">
        <f t="shared" si="28"/>
        <v>20</v>
      </c>
      <c r="C775">
        <f t="shared" si="29"/>
        <v>1.2299999999999978E-3</v>
      </c>
      <c r="D775">
        <v>2.0026000000000002</v>
      </c>
      <c r="E775" s="1">
        <f t="shared" si="30"/>
        <v>1.0930555555555537</v>
      </c>
      <c r="F775" s="3">
        <v>46168</v>
      </c>
    </row>
    <row r="776" spans="1:6" x14ac:dyDescent="0.3">
      <c r="A776" t="s">
        <v>93</v>
      </c>
      <c r="B776">
        <f t="shared" si="28"/>
        <v>40</v>
      </c>
      <c r="C776">
        <f t="shared" si="29"/>
        <v>1.1449999999999961E-3</v>
      </c>
      <c r="D776">
        <v>2.7845</v>
      </c>
      <c r="E776" s="1">
        <f t="shared" si="30"/>
        <v>0.39097222222222222</v>
      </c>
      <c r="F776" s="3">
        <v>46168</v>
      </c>
    </row>
    <row r="777" spans="1:6" x14ac:dyDescent="0.3">
      <c r="A777" t="s">
        <v>94</v>
      </c>
      <c r="B777">
        <f t="shared" si="28"/>
        <v>40</v>
      </c>
      <c r="C777">
        <f t="shared" si="29"/>
        <v>7.1499999999999895E-4</v>
      </c>
      <c r="D777">
        <v>1.8099000000000001</v>
      </c>
      <c r="E777" s="1">
        <f t="shared" si="30"/>
        <v>1.0930555555555537</v>
      </c>
      <c r="F777" s="3">
        <v>46168</v>
      </c>
    </row>
    <row r="778" spans="1:6" x14ac:dyDescent="0.3">
      <c r="A778" t="s">
        <v>95</v>
      </c>
      <c r="B778">
        <f t="shared" si="28"/>
        <v>40</v>
      </c>
      <c r="C778">
        <f t="shared" si="29"/>
        <v>9.2000000000000968E-4</v>
      </c>
      <c r="D778">
        <v>2.9441999999999999</v>
      </c>
      <c r="E778" s="1">
        <f t="shared" si="30"/>
        <v>1.1048611111111093</v>
      </c>
      <c r="F778" s="3">
        <v>46168</v>
      </c>
    </row>
    <row r="779" spans="1:6" x14ac:dyDescent="0.3">
      <c r="A779" t="s">
        <v>87</v>
      </c>
      <c r="B779">
        <f t="shared" si="28"/>
        <v>40</v>
      </c>
      <c r="C779">
        <f t="shared" si="29"/>
        <v>1.1249999999999982E-3</v>
      </c>
      <c r="D779">
        <v>1.5650999999999999</v>
      </c>
      <c r="E779" s="1">
        <f t="shared" si="30"/>
        <v>1.1055555555555536</v>
      </c>
      <c r="F779" s="3">
        <v>46168</v>
      </c>
    </row>
    <row r="780" spans="1:6" x14ac:dyDescent="0.3">
      <c r="A780" t="s">
        <v>88</v>
      </c>
      <c r="B780">
        <f t="shared" si="28"/>
        <v>40</v>
      </c>
      <c r="C780">
        <f t="shared" si="29"/>
        <v>6.4499999999999562E-4</v>
      </c>
      <c r="D780">
        <v>1.3902000000000001</v>
      </c>
      <c r="E780" s="1">
        <f t="shared" si="30"/>
        <v>1.1055555555555536</v>
      </c>
      <c r="F780" s="3">
        <v>46168</v>
      </c>
    </row>
    <row r="781" spans="1:6" x14ac:dyDescent="0.3">
      <c r="A781" t="s">
        <v>89</v>
      </c>
      <c r="B781">
        <f t="shared" si="28"/>
        <v>40</v>
      </c>
      <c r="C781">
        <f t="shared" si="29"/>
        <v>4.1000000000000482E-4</v>
      </c>
      <c r="D781">
        <v>0.94089999999999996</v>
      </c>
      <c r="E781" s="1">
        <f t="shared" si="30"/>
        <v>1.1062499999999982</v>
      </c>
      <c r="F781" s="3">
        <v>46168</v>
      </c>
    </row>
    <row r="782" spans="1:6" x14ac:dyDescent="0.3">
      <c r="A782" t="s">
        <v>90</v>
      </c>
      <c r="B782">
        <f t="shared" si="28"/>
        <v>40</v>
      </c>
      <c r="C782">
        <f t="shared" si="29"/>
        <v>9.8999999999997983E-4</v>
      </c>
      <c r="D782">
        <v>2.9296000000000002</v>
      </c>
      <c r="E782" s="1">
        <f t="shared" si="30"/>
        <v>1.1062499999999982</v>
      </c>
      <c r="F782" s="3">
        <v>46168</v>
      </c>
    </row>
    <row r="783" spans="1:6" x14ac:dyDescent="0.3">
      <c r="A783" t="s">
        <v>91</v>
      </c>
      <c r="B783">
        <f t="shared" si="28"/>
        <v>40</v>
      </c>
      <c r="C783">
        <f t="shared" si="29"/>
        <v>5.5499999999999441E-4</v>
      </c>
      <c r="D783">
        <v>1.5684</v>
      </c>
      <c r="E783" s="1">
        <f t="shared" si="30"/>
        <v>1.1062499999999982</v>
      </c>
      <c r="F783" s="3">
        <v>46168</v>
      </c>
    </row>
    <row r="784" spans="1:6" x14ac:dyDescent="0.3">
      <c r="A784" t="s">
        <v>92</v>
      </c>
      <c r="B784">
        <f t="shared" si="28"/>
        <v>40</v>
      </c>
      <c r="C784">
        <f t="shared" si="29"/>
        <v>1.1500000000000065E-3</v>
      </c>
      <c r="D784">
        <v>1.9796</v>
      </c>
      <c r="E784" s="1">
        <f t="shared" si="30"/>
        <v>1.1069444444444425</v>
      </c>
      <c r="F784" s="3">
        <v>46168</v>
      </c>
    </row>
    <row r="785" spans="1:6" x14ac:dyDescent="0.3">
      <c r="A785" t="s">
        <v>93</v>
      </c>
      <c r="B785">
        <f t="shared" si="28"/>
        <v>60</v>
      </c>
      <c r="C785">
        <f t="shared" si="29"/>
        <v>1.1849999999999916E-3</v>
      </c>
      <c r="D785">
        <v>2.7608000000000001</v>
      </c>
      <c r="E785" s="1">
        <f t="shared" si="30"/>
        <v>0.40486111111111112</v>
      </c>
      <c r="F785" s="3">
        <v>46168</v>
      </c>
    </row>
    <row r="786" spans="1:6" x14ac:dyDescent="0.3">
      <c r="A786" t="s">
        <v>94</v>
      </c>
      <c r="B786">
        <f t="shared" si="28"/>
        <v>60</v>
      </c>
      <c r="C786">
        <f t="shared" si="29"/>
        <v>8.3000000000000847E-4</v>
      </c>
      <c r="D786">
        <v>1.7932999999999999</v>
      </c>
      <c r="E786" s="1">
        <f t="shared" si="30"/>
        <v>1.1069444444444425</v>
      </c>
      <c r="F786" s="3">
        <v>46168</v>
      </c>
    </row>
    <row r="787" spans="1:6" x14ac:dyDescent="0.3">
      <c r="A787" t="s">
        <v>95</v>
      </c>
      <c r="B787">
        <f t="shared" si="28"/>
        <v>60</v>
      </c>
      <c r="C787">
        <f t="shared" si="29"/>
        <v>8.4999999999999518E-4</v>
      </c>
      <c r="D787">
        <v>2.9272</v>
      </c>
      <c r="E787" s="1">
        <f t="shared" si="30"/>
        <v>1.1187499999999981</v>
      </c>
      <c r="F787" s="3">
        <v>46168</v>
      </c>
    </row>
    <row r="788" spans="1:6" x14ac:dyDescent="0.3">
      <c r="A788" t="s">
        <v>87</v>
      </c>
      <c r="B788">
        <f t="shared" si="28"/>
        <v>60</v>
      </c>
      <c r="C788">
        <f t="shared" si="29"/>
        <v>1.1799999999999923E-3</v>
      </c>
      <c r="D788">
        <v>1.5415000000000001</v>
      </c>
      <c r="E788" s="1">
        <f t="shared" si="30"/>
        <v>1.1194444444444425</v>
      </c>
      <c r="F788" s="3">
        <v>46168</v>
      </c>
    </row>
    <row r="789" spans="1:6" x14ac:dyDescent="0.3">
      <c r="A789" t="s">
        <v>88</v>
      </c>
      <c r="B789">
        <f t="shared" si="28"/>
        <v>60</v>
      </c>
      <c r="C789">
        <f t="shared" si="29"/>
        <v>5.7000000000000388E-4</v>
      </c>
      <c r="D789">
        <v>1.3788</v>
      </c>
      <c r="E789" s="1">
        <f t="shared" si="30"/>
        <v>1.1194444444444425</v>
      </c>
      <c r="F789" s="3">
        <v>46168</v>
      </c>
    </row>
    <row r="790" spans="1:6" x14ac:dyDescent="0.3">
      <c r="A790" t="s">
        <v>89</v>
      </c>
      <c r="B790">
        <f t="shared" si="28"/>
        <v>60</v>
      </c>
      <c r="C790">
        <f t="shared" si="29"/>
        <v>3.8499999999999646E-4</v>
      </c>
      <c r="D790">
        <v>0.93320000000000003</v>
      </c>
      <c r="E790" s="1">
        <f t="shared" si="30"/>
        <v>1.120138888888887</v>
      </c>
      <c r="F790" s="3">
        <v>46168</v>
      </c>
    </row>
    <row r="791" spans="1:6" x14ac:dyDescent="0.3">
      <c r="A791" t="s">
        <v>90</v>
      </c>
      <c r="B791">
        <f t="shared" si="28"/>
        <v>60</v>
      </c>
      <c r="C791">
        <f t="shared" si="29"/>
        <v>8.3000000000001963E-4</v>
      </c>
      <c r="D791">
        <v>2.9129999999999998</v>
      </c>
      <c r="E791" s="1">
        <f t="shared" si="30"/>
        <v>1.120138888888887</v>
      </c>
      <c r="F791" s="3">
        <v>46168</v>
      </c>
    </row>
    <row r="792" spans="1:6" x14ac:dyDescent="0.3">
      <c r="A792" t="s">
        <v>91</v>
      </c>
      <c r="B792">
        <f t="shared" si="28"/>
        <v>60</v>
      </c>
      <c r="C792">
        <f t="shared" si="29"/>
        <v>5.0499999999999992E-4</v>
      </c>
      <c r="D792">
        <v>1.5583</v>
      </c>
      <c r="E792" s="1">
        <f t="shared" si="30"/>
        <v>1.120138888888887</v>
      </c>
      <c r="F792" s="3">
        <v>46168</v>
      </c>
    </row>
    <row r="793" spans="1:6" x14ac:dyDescent="0.3">
      <c r="A793" t="s">
        <v>92</v>
      </c>
      <c r="B793">
        <f t="shared" si="28"/>
        <v>60</v>
      </c>
      <c r="C793">
        <f t="shared" si="29"/>
        <v>1.1800000000000033E-3</v>
      </c>
      <c r="D793">
        <v>1.956</v>
      </c>
      <c r="E793" s="1">
        <f t="shared" si="30"/>
        <v>1.1208333333333313</v>
      </c>
      <c r="F793" s="3">
        <v>46168</v>
      </c>
    </row>
    <row r="794" spans="1:6" x14ac:dyDescent="0.3">
      <c r="A794" t="s">
        <v>93</v>
      </c>
      <c r="B794">
        <f t="shared" si="28"/>
        <v>80</v>
      </c>
      <c r="C794">
        <f t="shared" si="29"/>
        <v>1.2500000000000178E-3</v>
      </c>
      <c r="D794">
        <v>2.7357999999999998</v>
      </c>
      <c r="E794" s="1">
        <f t="shared" si="30"/>
        <v>0.41875000000000001</v>
      </c>
      <c r="F794" s="3">
        <v>46168</v>
      </c>
    </row>
    <row r="795" spans="1:6" x14ac:dyDescent="0.3">
      <c r="A795" t="s">
        <v>94</v>
      </c>
      <c r="B795">
        <f t="shared" si="28"/>
        <v>80</v>
      </c>
      <c r="C795">
        <f t="shared" si="29"/>
        <v>8.4999999999999518E-4</v>
      </c>
      <c r="D795">
        <v>1.7763</v>
      </c>
      <c r="E795" s="1">
        <f t="shared" si="30"/>
        <v>1.1208333333333313</v>
      </c>
      <c r="F795" s="3">
        <v>46168</v>
      </c>
    </row>
    <row r="796" spans="1:6" x14ac:dyDescent="0.3">
      <c r="A796" t="s">
        <v>95</v>
      </c>
      <c r="B796">
        <f t="shared" si="28"/>
        <v>80</v>
      </c>
      <c r="C796">
        <f t="shared" si="29"/>
        <v>8.1999999999999846E-4</v>
      </c>
      <c r="D796">
        <v>2.9108000000000001</v>
      </c>
      <c r="E796" s="1">
        <f t="shared" si="30"/>
        <v>1.132638888888887</v>
      </c>
      <c r="F796" s="3">
        <v>46168</v>
      </c>
    </row>
    <row r="797" spans="1:6" x14ac:dyDescent="0.3">
      <c r="A797" t="s">
        <v>87</v>
      </c>
      <c r="B797">
        <f t="shared" si="28"/>
        <v>80</v>
      </c>
      <c r="C797">
        <f t="shared" si="29"/>
        <v>1.1850000000000027E-3</v>
      </c>
      <c r="D797">
        <v>1.5178</v>
      </c>
      <c r="E797" s="1">
        <f t="shared" si="30"/>
        <v>1.1333333333333313</v>
      </c>
      <c r="F797" s="3">
        <v>46168</v>
      </c>
    </row>
    <row r="798" spans="1:6" x14ac:dyDescent="0.3">
      <c r="A798" t="s">
        <v>88</v>
      </c>
      <c r="B798">
        <f t="shared" si="28"/>
        <v>80</v>
      </c>
      <c r="C798">
        <f t="shared" si="29"/>
        <v>6.3999999999999615E-4</v>
      </c>
      <c r="D798">
        <v>1.3660000000000001</v>
      </c>
      <c r="E798" s="1">
        <f t="shared" si="30"/>
        <v>1.1333333333333313</v>
      </c>
      <c r="F798" s="3">
        <v>46168</v>
      </c>
    </row>
    <row r="799" spans="1:6" x14ac:dyDescent="0.3">
      <c r="A799" t="s">
        <v>89</v>
      </c>
      <c r="B799">
        <f t="shared" si="28"/>
        <v>80</v>
      </c>
      <c r="C799">
        <f t="shared" si="29"/>
        <v>3.5499999999999974E-4</v>
      </c>
      <c r="D799">
        <v>0.92610000000000003</v>
      </c>
      <c r="E799" s="1">
        <f t="shared" si="30"/>
        <v>1.1340277777777759</v>
      </c>
      <c r="F799" s="3">
        <v>46168</v>
      </c>
    </row>
    <row r="800" spans="1:6" x14ac:dyDescent="0.3">
      <c r="A800" t="s">
        <v>90</v>
      </c>
      <c r="B800">
        <f t="shared" si="28"/>
        <v>80</v>
      </c>
      <c r="C800">
        <f t="shared" si="29"/>
        <v>8.9999999999998968E-4</v>
      </c>
      <c r="D800">
        <v>2.895</v>
      </c>
      <c r="E800" s="1">
        <f t="shared" si="30"/>
        <v>1.1340277777777759</v>
      </c>
      <c r="F800" s="3">
        <v>46168</v>
      </c>
    </row>
    <row r="801" spans="1:6" x14ac:dyDescent="0.3">
      <c r="A801" t="s">
        <v>91</v>
      </c>
      <c r="B801">
        <f t="shared" si="28"/>
        <v>80</v>
      </c>
      <c r="C801">
        <f t="shared" si="29"/>
        <v>5.1499999999999875E-4</v>
      </c>
      <c r="D801">
        <v>1.548</v>
      </c>
      <c r="E801" s="1">
        <f t="shared" si="30"/>
        <v>1.1340277777777759</v>
      </c>
      <c r="F801" s="3">
        <v>46168</v>
      </c>
    </row>
    <row r="802" spans="1:6" x14ac:dyDescent="0.3">
      <c r="A802" t="s">
        <v>92</v>
      </c>
      <c r="B802">
        <f t="shared" si="28"/>
        <v>80</v>
      </c>
      <c r="C802">
        <f t="shared" si="29"/>
        <v>1.1000000000000009E-3</v>
      </c>
      <c r="D802">
        <v>1.9339999999999999</v>
      </c>
      <c r="E802" s="1">
        <f t="shared" si="30"/>
        <v>1.1347222222222202</v>
      </c>
      <c r="F802" s="3">
        <v>46168</v>
      </c>
    </row>
    <row r="803" spans="1:6" x14ac:dyDescent="0.3">
      <c r="A803" t="s">
        <v>93</v>
      </c>
      <c r="B803">
        <f t="shared" si="28"/>
        <v>100</v>
      </c>
      <c r="C803">
        <f t="shared" si="29"/>
        <v>1.3899999999999802E-3</v>
      </c>
      <c r="D803">
        <v>2.7080000000000002</v>
      </c>
      <c r="E803" s="1">
        <f t="shared" si="30"/>
        <v>0.43263888888888891</v>
      </c>
      <c r="F803" s="3">
        <v>46168</v>
      </c>
    </row>
    <row r="804" spans="1:6" x14ac:dyDescent="0.3">
      <c r="A804" t="s">
        <v>94</v>
      </c>
      <c r="B804">
        <f t="shared" si="28"/>
        <v>100</v>
      </c>
      <c r="C804">
        <f t="shared" si="29"/>
        <v>1.0349999999999971E-3</v>
      </c>
      <c r="D804">
        <v>1.7556</v>
      </c>
      <c r="E804" s="1">
        <f t="shared" si="30"/>
        <v>1.1347222222222202</v>
      </c>
      <c r="F804" s="3">
        <v>46168</v>
      </c>
    </row>
    <row r="805" spans="1:6" x14ac:dyDescent="0.3">
      <c r="A805" t="s">
        <v>95</v>
      </c>
      <c r="B805">
        <f t="shared" si="28"/>
        <v>100</v>
      </c>
      <c r="C805">
        <f t="shared" si="29"/>
        <v>8.6500000000000465E-4</v>
      </c>
      <c r="D805">
        <v>2.8935</v>
      </c>
      <c r="E805" s="1">
        <f t="shared" si="30"/>
        <v>1.1465277777777758</v>
      </c>
      <c r="F805" s="3">
        <v>46168</v>
      </c>
    </row>
    <row r="806" spans="1:6" x14ac:dyDescent="0.3">
      <c r="A806" t="s">
        <v>87</v>
      </c>
      <c r="B806">
        <f t="shared" si="28"/>
        <v>100</v>
      </c>
      <c r="C806">
        <f t="shared" si="29"/>
        <v>1.0600000000000054E-3</v>
      </c>
      <c r="D806">
        <v>1.4965999999999999</v>
      </c>
      <c r="E806" s="1">
        <f t="shared" si="30"/>
        <v>1.1472222222222201</v>
      </c>
      <c r="F806" s="3">
        <v>46168</v>
      </c>
    </row>
    <row r="807" spans="1:6" x14ac:dyDescent="0.3">
      <c r="A807" t="s">
        <v>88</v>
      </c>
      <c r="B807">
        <f t="shared" si="28"/>
        <v>100</v>
      </c>
      <c r="C807">
        <f t="shared" si="29"/>
        <v>8.1500000000001016E-4</v>
      </c>
      <c r="D807">
        <v>1.3496999999999999</v>
      </c>
      <c r="E807" s="1">
        <f t="shared" si="30"/>
        <v>1.1472222222222201</v>
      </c>
      <c r="F807" s="3">
        <v>46168</v>
      </c>
    </row>
    <row r="808" spans="1:6" x14ac:dyDescent="0.3">
      <c r="A808" t="s">
        <v>89</v>
      </c>
      <c r="B808">
        <f t="shared" si="28"/>
        <v>100</v>
      </c>
      <c r="C808">
        <f t="shared" si="29"/>
        <v>3.8500000000000199E-4</v>
      </c>
      <c r="D808">
        <v>0.91839999999999999</v>
      </c>
      <c r="E808" s="1">
        <f t="shared" si="30"/>
        <v>1.1479166666666647</v>
      </c>
      <c r="F808" s="3">
        <v>46168</v>
      </c>
    </row>
    <row r="809" spans="1:6" x14ac:dyDescent="0.3">
      <c r="A809" t="s">
        <v>90</v>
      </c>
      <c r="B809">
        <f t="shared" si="28"/>
        <v>100</v>
      </c>
      <c r="C809">
        <f t="shared" si="29"/>
        <v>9.1000000000001084E-4</v>
      </c>
      <c r="D809">
        <v>2.8767999999999998</v>
      </c>
      <c r="E809" s="1">
        <f t="shared" si="30"/>
        <v>1.1479166666666647</v>
      </c>
      <c r="F809" s="3">
        <v>46168</v>
      </c>
    </row>
    <row r="810" spans="1:6" x14ac:dyDescent="0.3">
      <c r="A810" t="s">
        <v>91</v>
      </c>
      <c r="B810">
        <f t="shared" si="28"/>
        <v>100</v>
      </c>
      <c r="C810">
        <f t="shared" si="29"/>
        <v>4.900000000000015E-4</v>
      </c>
      <c r="D810">
        <v>1.5382</v>
      </c>
      <c r="E810" s="1">
        <f t="shared" si="30"/>
        <v>1.1479166666666647</v>
      </c>
      <c r="F810" s="3">
        <v>46168</v>
      </c>
    </row>
    <row r="811" spans="1:6" x14ac:dyDescent="0.3">
      <c r="A811" t="s">
        <v>92</v>
      </c>
      <c r="B811">
        <f t="shared" si="28"/>
        <v>100</v>
      </c>
      <c r="C811">
        <f t="shared" si="29"/>
        <v>1.1699999999999933E-3</v>
      </c>
      <c r="D811">
        <v>1.9106000000000001</v>
      </c>
      <c r="E811" s="1">
        <f t="shared" si="30"/>
        <v>1.148611111111109</v>
      </c>
      <c r="F811" s="3">
        <v>46168</v>
      </c>
    </row>
    <row r="812" spans="1:6" x14ac:dyDescent="0.3">
      <c r="A812" t="s">
        <v>93</v>
      </c>
      <c r="B812">
        <f t="shared" si="28"/>
        <v>120</v>
      </c>
      <c r="C812">
        <f t="shared" si="29"/>
        <v>1.8050000000000121E-3</v>
      </c>
      <c r="D812">
        <v>2.6718999999999999</v>
      </c>
      <c r="E812" s="1">
        <f t="shared" si="30"/>
        <v>0.4465277777777778</v>
      </c>
      <c r="F812" s="3">
        <v>46168</v>
      </c>
    </row>
    <row r="813" spans="1:6" x14ac:dyDescent="0.3">
      <c r="A813" t="s">
        <v>94</v>
      </c>
      <c r="B813">
        <f t="shared" si="28"/>
        <v>120</v>
      </c>
      <c r="C813">
        <f t="shared" si="29"/>
        <v>9.1499999999999915E-4</v>
      </c>
      <c r="D813">
        <v>1.7373000000000001</v>
      </c>
      <c r="E813" s="1">
        <f t="shared" si="30"/>
        <v>1.148611111111109</v>
      </c>
      <c r="F813" s="3">
        <v>46168</v>
      </c>
    </row>
    <row r="814" spans="1:6" x14ac:dyDescent="0.3">
      <c r="A814" t="s">
        <v>95</v>
      </c>
      <c r="B814">
        <f t="shared" si="28"/>
        <v>120</v>
      </c>
      <c r="C814">
        <f t="shared" si="29"/>
        <v>6.9500000000000117E-4</v>
      </c>
      <c r="D814">
        <v>2.8795999999999999</v>
      </c>
      <c r="E814" s="1">
        <f t="shared" si="30"/>
        <v>1.1604166666666647</v>
      </c>
      <c r="F814" s="3">
        <v>46168</v>
      </c>
    </row>
    <row r="815" spans="1:6" x14ac:dyDescent="0.3">
      <c r="A815" t="s">
        <v>87</v>
      </c>
      <c r="B815">
        <f t="shared" si="28"/>
        <v>120</v>
      </c>
      <c r="C815">
        <f t="shared" si="29"/>
        <v>8.5999999999999412E-4</v>
      </c>
      <c r="D815">
        <v>1.4794</v>
      </c>
      <c r="E815" s="1">
        <f t="shared" si="30"/>
        <v>1.161111111111109</v>
      </c>
      <c r="F815" s="3">
        <v>46168</v>
      </c>
    </row>
    <row r="816" spans="1:6" x14ac:dyDescent="0.3">
      <c r="A816" t="s">
        <v>88</v>
      </c>
      <c r="B816">
        <f t="shared" si="28"/>
        <v>120</v>
      </c>
      <c r="C816">
        <f t="shared" si="29"/>
        <v>5.4499999999999547E-4</v>
      </c>
      <c r="D816">
        <v>1.3388</v>
      </c>
      <c r="E816" s="1">
        <f t="shared" si="30"/>
        <v>1.161111111111109</v>
      </c>
      <c r="F816" s="3">
        <v>46168</v>
      </c>
    </row>
    <row r="817" spans="1:6" x14ac:dyDescent="0.3">
      <c r="A817" t="s">
        <v>89</v>
      </c>
      <c r="B817">
        <f t="shared" si="28"/>
        <v>120</v>
      </c>
      <c r="C817">
        <f t="shared" si="29"/>
        <v>3.3500000000000196E-4</v>
      </c>
      <c r="D817">
        <v>0.91169999999999995</v>
      </c>
      <c r="E817" s="1">
        <f t="shared" si="30"/>
        <v>1.1618055555555535</v>
      </c>
      <c r="F817" s="3">
        <v>46168</v>
      </c>
    </row>
    <row r="818" spans="1:6" x14ac:dyDescent="0.3">
      <c r="A818" t="s">
        <v>90</v>
      </c>
      <c r="B818">
        <f t="shared" si="28"/>
        <v>120</v>
      </c>
      <c r="C818">
        <f t="shared" si="29"/>
        <v>7.3499999999999672E-4</v>
      </c>
      <c r="D818">
        <v>2.8620999999999999</v>
      </c>
      <c r="E818" s="1">
        <f t="shared" si="30"/>
        <v>1.1618055555555535</v>
      </c>
      <c r="F818" s="3">
        <v>46168</v>
      </c>
    </row>
    <row r="819" spans="1:6" x14ac:dyDescent="0.3">
      <c r="A819" t="s">
        <v>91</v>
      </c>
      <c r="B819">
        <f t="shared" si="28"/>
        <v>120</v>
      </c>
      <c r="C819">
        <f t="shared" si="29"/>
        <v>5.2999999999999716E-4</v>
      </c>
      <c r="D819">
        <v>1.5276000000000001</v>
      </c>
      <c r="E819" s="1">
        <f t="shared" si="30"/>
        <v>1.1618055555555535</v>
      </c>
      <c r="F819" s="3">
        <v>46168</v>
      </c>
    </row>
    <row r="820" spans="1:6" x14ac:dyDescent="0.3">
      <c r="A820" t="s">
        <v>92</v>
      </c>
      <c r="B820">
        <f t="shared" si="28"/>
        <v>120</v>
      </c>
      <c r="C820">
        <f t="shared" si="29"/>
        <v>1.1050000000000005E-3</v>
      </c>
      <c r="D820">
        <v>1.8885000000000001</v>
      </c>
      <c r="E820" s="1">
        <f t="shared" si="30"/>
        <v>1.1624999999999979</v>
      </c>
      <c r="F820" s="3">
        <v>46168</v>
      </c>
    </row>
    <row r="821" spans="1:6" x14ac:dyDescent="0.3">
      <c r="A821" t="s">
        <v>93</v>
      </c>
      <c r="B821">
        <f t="shared" si="28"/>
        <v>140</v>
      </c>
      <c r="C821">
        <f t="shared" si="29"/>
        <v>1.5449999999999965E-3</v>
      </c>
      <c r="D821">
        <v>2.641</v>
      </c>
      <c r="E821" s="1">
        <f t="shared" si="30"/>
        <v>0.4604166666666667</v>
      </c>
      <c r="F821" s="3">
        <v>46168</v>
      </c>
    </row>
    <row r="822" spans="1:6" x14ac:dyDescent="0.3">
      <c r="A822" t="s">
        <v>94</v>
      </c>
      <c r="B822">
        <f t="shared" si="28"/>
        <v>140</v>
      </c>
      <c r="C822">
        <f t="shared" si="29"/>
        <v>7.1499999999999895E-4</v>
      </c>
      <c r="D822">
        <v>1.7230000000000001</v>
      </c>
      <c r="E822" s="1">
        <f t="shared" si="30"/>
        <v>1.1624999999999979</v>
      </c>
      <c r="F822" s="3">
        <v>46168</v>
      </c>
    </row>
    <row r="823" spans="1:6" x14ac:dyDescent="0.3">
      <c r="A823" t="s">
        <v>95</v>
      </c>
      <c r="B823">
        <f t="shared" si="28"/>
        <v>140</v>
      </c>
      <c r="C823">
        <f t="shared" si="29"/>
        <v>7.7499999999999238E-4</v>
      </c>
      <c r="D823">
        <v>2.8641000000000001</v>
      </c>
      <c r="E823" s="1">
        <f t="shared" si="30"/>
        <v>1.1743055555555535</v>
      </c>
      <c r="F823" s="3">
        <v>46168</v>
      </c>
    </row>
    <row r="824" spans="1:6" x14ac:dyDescent="0.3">
      <c r="A824" t="s">
        <v>87</v>
      </c>
      <c r="B824">
        <f t="shared" si="28"/>
        <v>140</v>
      </c>
      <c r="C824">
        <f t="shared" si="29"/>
        <v>9.5000000000000639E-4</v>
      </c>
      <c r="D824">
        <v>1.4603999999999999</v>
      </c>
      <c r="E824" s="1">
        <f t="shared" si="30"/>
        <v>1.1749999999999978</v>
      </c>
      <c r="F824" s="3">
        <v>46168</v>
      </c>
    </row>
    <row r="825" spans="1:6" x14ac:dyDescent="0.3">
      <c r="A825" t="s">
        <v>88</v>
      </c>
      <c r="B825">
        <f t="shared" si="28"/>
        <v>140</v>
      </c>
      <c r="C825">
        <f t="shared" si="29"/>
        <v>6.2999999999999721E-4</v>
      </c>
      <c r="D825">
        <v>1.3262</v>
      </c>
      <c r="E825" s="1">
        <f t="shared" si="30"/>
        <v>1.1749999999999978</v>
      </c>
      <c r="F825" s="3">
        <v>46168</v>
      </c>
    </row>
    <row r="826" spans="1:6" x14ac:dyDescent="0.3">
      <c r="A826" t="s">
        <v>89</v>
      </c>
      <c r="B826">
        <f t="shared" si="28"/>
        <v>140</v>
      </c>
      <c r="C826">
        <f t="shared" si="29"/>
        <v>3.8499999999999646E-4</v>
      </c>
      <c r="D826">
        <v>0.90400000000000003</v>
      </c>
      <c r="E826" s="1">
        <f t="shared" si="30"/>
        <v>1.1756944444444424</v>
      </c>
      <c r="F826" s="3">
        <v>46168</v>
      </c>
    </row>
    <row r="827" spans="1:6" x14ac:dyDescent="0.3">
      <c r="A827" t="s">
        <v>90</v>
      </c>
      <c r="B827">
        <f t="shared" si="28"/>
        <v>140</v>
      </c>
      <c r="C827">
        <f t="shared" si="29"/>
        <v>8.5499999999998359E-4</v>
      </c>
      <c r="D827">
        <v>2.8450000000000002</v>
      </c>
      <c r="E827" s="1">
        <f t="shared" si="30"/>
        <v>1.1756944444444424</v>
      </c>
      <c r="F827" s="3">
        <v>46168</v>
      </c>
    </row>
    <row r="828" spans="1:6" x14ac:dyDescent="0.3">
      <c r="A828" t="s">
        <v>91</v>
      </c>
      <c r="B828">
        <f t="shared" si="28"/>
        <v>140</v>
      </c>
      <c r="C828">
        <f t="shared" si="29"/>
        <v>5.6500000000000441E-4</v>
      </c>
      <c r="D828">
        <v>1.5163</v>
      </c>
      <c r="E828" s="1">
        <f t="shared" si="30"/>
        <v>1.1756944444444424</v>
      </c>
      <c r="F828" s="3">
        <v>46168</v>
      </c>
    </row>
    <row r="829" spans="1:6" x14ac:dyDescent="0.3">
      <c r="A829" t="s">
        <v>92</v>
      </c>
      <c r="B829">
        <f t="shared" si="28"/>
        <v>140</v>
      </c>
      <c r="C829">
        <f t="shared" si="29"/>
        <v>1.0850000000000026E-3</v>
      </c>
      <c r="D829">
        <v>1.8668</v>
      </c>
      <c r="E829" s="1">
        <f t="shared" si="30"/>
        <v>1.1763888888888867</v>
      </c>
      <c r="F829" s="3">
        <v>46168</v>
      </c>
    </row>
    <row r="830" spans="1:6" x14ac:dyDescent="0.3">
      <c r="A830" t="s">
        <v>93</v>
      </c>
      <c r="B830">
        <f t="shared" si="28"/>
        <v>160</v>
      </c>
      <c r="C830">
        <f t="shared" si="29"/>
        <v>1.275000000000004E-3</v>
      </c>
      <c r="D830">
        <v>2.6154999999999999</v>
      </c>
      <c r="E830" s="1">
        <f t="shared" si="30"/>
        <v>0.47430555555555559</v>
      </c>
      <c r="F830" s="3">
        <v>46168</v>
      </c>
    </row>
    <row r="831" spans="1:6" x14ac:dyDescent="0.3">
      <c r="A831" t="s">
        <v>94</v>
      </c>
      <c r="B831">
        <f t="shared" si="28"/>
        <v>160</v>
      </c>
      <c r="C831">
        <f t="shared" si="29"/>
        <v>6.3500000000000774E-4</v>
      </c>
      <c r="D831">
        <v>1.7102999999999999</v>
      </c>
      <c r="E831" s="1">
        <f t="shared" si="30"/>
        <v>1.1763888888888867</v>
      </c>
      <c r="F831" s="3">
        <v>46168</v>
      </c>
    </row>
    <row r="832" spans="1:6" x14ac:dyDescent="0.3">
      <c r="A832" t="s">
        <v>95</v>
      </c>
      <c r="B832">
        <f t="shared" ref="B832:B883" si="31">B823+20</f>
        <v>160</v>
      </c>
      <c r="C832">
        <f t="shared" ref="C832:C883" si="32">(D823-D832)/20</f>
        <v>7.2499999999999789E-4</v>
      </c>
      <c r="D832">
        <v>2.8496000000000001</v>
      </c>
      <c r="E832" s="1">
        <f t="shared" ref="E832:E883" si="33">E823+(20/1440)</f>
        <v>1.1881944444444423</v>
      </c>
      <c r="F832" s="3">
        <v>46168</v>
      </c>
    </row>
    <row r="833" spans="1:6" x14ac:dyDescent="0.3">
      <c r="A833" t="s">
        <v>87</v>
      </c>
      <c r="B833">
        <f t="shared" si="31"/>
        <v>160</v>
      </c>
      <c r="C833">
        <f t="shared" si="32"/>
        <v>8.6999999999999296E-4</v>
      </c>
      <c r="D833">
        <v>1.4430000000000001</v>
      </c>
      <c r="E833" s="1">
        <f t="shared" si="33"/>
        <v>1.1888888888888867</v>
      </c>
      <c r="F833" s="3">
        <v>46168</v>
      </c>
    </row>
    <row r="834" spans="1:6" x14ac:dyDescent="0.3">
      <c r="A834" t="s">
        <v>88</v>
      </c>
      <c r="B834">
        <f t="shared" si="31"/>
        <v>160</v>
      </c>
      <c r="C834">
        <f t="shared" si="32"/>
        <v>5.0000000000000044E-4</v>
      </c>
      <c r="D834">
        <v>1.3162</v>
      </c>
      <c r="E834" s="1">
        <f t="shared" si="33"/>
        <v>1.1888888888888867</v>
      </c>
      <c r="F834" s="3">
        <v>46168</v>
      </c>
    </row>
    <row r="835" spans="1:6" x14ac:dyDescent="0.3">
      <c r="A835" t="s">
        <v>89</v>
      </c>
      <c r="B835">
        <f t="shared" si="31"/>
        <v>160</v>
      </c>
      <c r="C835">
        <f t="shared" si="32"/>
        <v>3.5000000000000032E-4</v>
      </c>
      <c r="D835">
        <v>0.89700000000000002</v>
      </c>
      <c r="E835" s="1">
        <f t="shared" si="33"/>
        <v>1.1895833333333312</v>
      </c>
      <c r="F835" s="3">
        <v>46168</v>
      </c>
    </row>
    <row r="836" spans="1:6" x14ac:dyDescent="0.3">
      <c r="A836" t="s">
        <v>90</v>
      </c>
      <c r="B836">
        <f t="shared" si="31"/>
        <v>160</v>
      </c>
      <c r="C836">
        <f t="shared" si="32"/>
        <v>7.4000000000000736E-4</v>
      </c>
      <c r="D836">
        <v>2.8302</v>
      </c>
      <c r="E836" s="1">
        <f t="shared" si="33"/>
        <v>1.1895833333333312</v>
      </c>
      <c r="F836" s="3">
        <v>46168</v>
      </c>
    </row>
    <row r="837" spans="1:6" x14ac:dyDescent="0.3">
      <c r="A837" t="s">
        <v>91</v>
      </c>
      <c r="B837">
        <f t="shared" si="31"/>
        <v>160</v>
      </c>
      <c r="C837">
        <f t="shared" si="32"/>
        <v>5.3499999999999663E-4</v>
      </c>
      <c r="D837">
        <v>1.5056</v>
      </c>
      <c r="E837" s="1">
        <f t="shared" si="33"/>
        <v>1.1895833333333312</v>
      </c>
      <c r="F837" s="3">
        <v>46168</v>
      </c>
    </row>
    <row r="838" spans="1:6" x14ac:dyDescent="0.3">
      <c r="A838" t="s">
        <v>92</v>
      </c>
      <c r="B838">
        <f t="shared" si="31"/>
        <v>160</v>
      </c>
      <c r="C838">
        <f t="shared" si="32"/>
        <v>1.1550000000000061E-3</v>
      </c>
      <c r="D838">
        <v>1.8436999999999999</v>
      </c>
      <c r="E838" s="1">
        <f t="shared" si="33"/>
        <v>1.1902777777777755</v>
      </c>
      <c r="F838" s="3">
        <v>46168</v>
      </c>
    </row>
    <row r="839" spans="1:6" x14ac:dyDescent="0.3">
      <c r="A839" t="s">
        <v>93</v>
      </c>
      <c r="B839">
        <f t="shared" si="31"/>
        <v>180</v>
      </c>
      <c r="C839">
        <f t="shared" si="32"/>
        <v>1.0499999999999954E-3</v>
      </c>
      <c r="D839">
        <v>2.5945</v>
      </c>
      <c r="E839" s="1">
        <f t="shared" si="33"/>
        <v>0.48819444444444449</v>
      </c>
      <c r="F839" s="3">
        <v>46168</v>
      </c>
    </row>
    <row r="840" spans="1:6" x14ac:dyDescent="0.3">
      <c r="A840" t="s">
        <v>94</v>
      </c>
      <c r="B840">
        <f t="shared" si="31"/>
        <v>180</v>
      </c>
      <c r="C840">
        <f t="shared" si="32"/>
        <v>4.9500000000000097E-4</v>
      </c>
      <c r="D840">
        <v>1.7003999999999999</v>
      </c>
      <c r="E840" s="1">
        <f t="shared" si="33"/>
        <v>1.1902777777777755</v>
      </c>
      <c r="F840" s="3">
        <v>46168</v>
      </c>
    </row>
    <row r="841" spans="1:6" x14ac:dyDescent="0.3">
      <c r="A841" t="s">
        <v>95</v>
      </c>
      <c r="B841">
        <f t="shared" si="31"/>
        <v>180</v>
      </c>
      <c r="C841">
        <f t="shared" si="32"/>
        <v>6.1500000000000996E-4</v>
      </c>
      <c r="D841">
        <v>2.8372999999999999</v>
      </c>
      <c r="E841" s="1">
        <f t="shared" si="33"/>
        <v>1.2020833333333312</v>
      </c>
      <c r="F841" s="3">
        <v>46168</v>
      </c>
    </row>
    <row r="842" spans="1:6" x14ac:dyDescent="0.3">
      <c r="A842" t="s">
        <v>87</v>
      </c>
      <c r="B842">
        <f t="shared" si="31"/>
        <v>180</v>
      </c>
      <c r="C842">
        <f t="shared" si="32"/>
        <v>8.3000000000000847E-4</v>
      </c>
      <c r="D842">
        <v>1.4263999999999999</v>
      </c>
      <c r="E842" s="1">
        <f t="shared" si="33"/>
        <v>1.2027777777777755</v>
      </c>
      <c r="F842" s="3">
        <v>46168</v>
      </c>
    </row>
    <row r="843" spans="1:6" x14ac:dyDescent="0.3">
      <c r="A843" t="s">
        <v>88</v>
      </c>
      <c r="B843">
        <f t="shared" si="31"/>
        <v>180</v>
      </c>
      <c r="C843">
        <f t="shared" si="32"/>
        <v>5.5500000000000547E-4</v>
      </c>
      <c r="D843">
        <v>1.3050999999999999</v>
      </c>
      <c r="E843" s="1">
        <f t="shared" si="33"/>
        <v>1.2027777777777755</v>
      </c>
      <c r="F843" s="3">
        <v>46168</v>
      </c>
    </row>
    <row r="844" spans="1:6" x14ac:dyDescent="0.3">
      <c r="A844" t="s">
        <v>89</v>
      </c>
      <c r="B844">
        <f t="shared" si="31"/>
        <v>180</v>
      </c>
      <c r="C844">
        <f t="shared" si="32"/>
        <v>4.0000000000000034E-4</v>
      </c>
      <c r="D844">
        <v>0.88900000000000001</v>
      </c>
      <c r="E844" s="1">
        <f t="shared" si="33"/>
        <v>1.2034722222222201</v>
      </c>
      <c r="F844" s="3">
        <v>46168</v>
      </c>
    </row>
    <row r="845" spans="1:6" x14ac:dyDescent="0.3">
      <c r="A845" t="s">
        <v>90</v>
      </c>
      <c r="B845">
        <f t="shared" si="31"/>
        <v>180</v>
      </c>
      <c r="C845">
        <f t="shared" si="32"/>
        <v>8.1999999999999846E-4</v>
      </c>
      <c r="D845">
        <v>2.8138000000000001</v>
      </c>
      <c r="E845" s="1">
        <f t="shared" si="33"/>
        <v>1.2034722222222201</v>
      </c>
      <c r="F845" s="3">
        <v>46168</v>
      </c>
    </row>
    <row r="846" spans="1:6" x14ac:dyDescent="0.3">
      <c r="A846" t="s">
        <v>91</v>
      </c>
      <c r="B846">
        <f t="shared" si="31"/>
        <v>180</v>
      </c>
      <c r="C846">
        <f t="shared" si="32"/>
        <v>5.9000000000000166E-4</v>
      </c>
      <c r="D846">
        <v>1.4938</v>
      </c>
      <c r="E846" s="1">
        <f t="shared" si="33"/>
        <v>1.2034722222222201</v>
      </c>
      <c r="F846" s="3">
        <v>46168</v>
      </c>
    </row>
    <row r="847" spans="1:6" x14ac:dyDescent="0.3">
      <c r="A847" t="s">
        <v>92</v>
      </c>
      <c r="B847">
        <f t="shared" si="31"/>
        <v>180</v>
      </c>
      <c r="C847">
        <f t="shared" si="32"/>
        <v>1.0249999999999981E-3</v>
      </c>
      <c r="D847">
        <v>1.8231999999999999</v>
      </c>
      <c r="E847" s="1">
        <f t="shared" si="33"/>
        <v>1.2041666666666644</v>
      </c>
      <c r="F847" s="3">
        <v>46168</v>
      </c>
    </row>
    <row r="848" spans="1:6" x14ac:dyDescent="0.3">
      <c r="A848" t="s">
        <v>93</v>
      </c>
      <c r="B848">
        <f t="shared" si="31"/>
        <v>200</v>
      </c>
      <c r="C848">
        <f t="shared" si="32"/>
        <v>1.1400000000000078E-3</v>
      </c>
      <c r="D848">
        <v>2.5716999999999999</v>
      </c>
      <c r="E848" s="1">
        <f t="shared" si="33"/>
        <v>0.50208333333333333</v>
      </c>
      <c r="F848" s="3">
        <v>46168</v>
      </c>
    </row>
    <row r="849" spans="1:6" x14ac:dyDescent="0.3">
      <c r="A849" t="s">
        <v>94</v>
      </c>
      <c r="B849">
        <f t="shared" si="31"/>
        <v>200</v>
      </c>
      <c r="C849">
        <f t="shared" si="32"/>
        <v>5.6999999999999271E-4</v>
      </c>
      <c r="D849">
        <v>1.6890000000000001</v>
      </c>
      <c r="E849" s="1">
        <f t="shared" si="33"/>
        <v>1.2041666666666644</v>
      </c>
      <c r="F849" s="3">
        <v>46168</v>
      </c>
    </row>
    <row r="850" spans="1:6" x14ac:dyDescent="0.3">
      <c r="A850" t="s">
        <v>95</v>
      </c>
      <c r="B850">
        <f t="shared" si="31"/>
        <v>200</v>
      </c>
      <c r="C850">
        <f t="shared" si="32"/>
        <v>6.9999999999998948E-4</v>
      </c>
      <c r="D850">
        <v>2.8233000000000001</v>
      </c>
      <c r="E850" s="1">
        <f t="shared" si="33"/>
        <v>1.21597222222222</v>
      </c>
      <c r="F850" s="3">
        <v>46168</v>
      </c>
    </row>
    <row r="851" spans="1:6" x14ac:dyDescent="0.3">
      <c r="A851" t="s">
        <v>87</v>
      </c>
      <c r="B851">
        <f t="shared" si="31"/>
        <v>200</v>
      </c>
      <c r="C851">
        <f t="shared" si="32"/>
        <v>8.0999999999999963E-4</v>
      </c>
      <c r="D851">
        <v>1.4101999999999999</v>
      </c>
      <c r="E851" s="1">
        <f t="shared" si="33"/>
        <v>1.2166666666666643</v>
      </c>
      <c r="F851" s="3">
        <v>46168</v>
      </c>
    </row>
    <row r="852" spans="1:6" x14ac:dyDescent="0.3">
      <c r="A852" t="s">
        <v>88</v>
      </c>
      <c r="B852">
        <f t="shared" si="31"/>
        <v>200</v>
      </c>
      <c r="C852">
        <f t="shared" si="32"/>
        <v>5.39999999999996E-4</v>
      </c>
      <c r="D852">
        <v>1.2943</v>
      </c>
      <c r="E852" s="1">
        <f t="shared" si="33"/>
        <v>1.2166666666666643</v>
      </c>
      <c r="F852" s="3">
        <v>46168</v>
      </c>
    </row>
    <row r="853" spans="1:6" x14ac:dyDescent="0.3">
      <c r="A853" t="s">
        <v>89</v>
      </c>
      <c r="B853">
        <f t="shared" si="31"/>
        <v>200</v>
      </c>
      <c r="C853">
        <f t="shared" si="32"/>
        <v>3.149999999999986E-4</v>
      </c>
      <c r="D853">
        <v>0.88270000000000004</v>
      </c>
      <c r="E853" s="1">
        <f t="shared" si="33"/>
        <v>1.2173611111111089</v>
      </c>
      <c r="F853" s="3">
        <v>46168</v>
      </c>
    </row>
    <row r="854" spans="1:6" x14ac:dyDescent="0.3">
      <c r="A854" t="s">
        <v>90</v>
      </c>
      <c r="B854">
        <f t="shared" si="31"/>
        <v>200</v>
      </c>
      <c r="C854">
        <f t="shared" si="32"/>
        <v>7.6000000000000514E-4</v>
      </c>
      <c r="D854">
        <v>2.7986</v>
      </c>
      <c r="E854" s="1">
        <f t="shared" si="33"/>
        <v>1.2173611111111089</v>
      </c>
      <c r="F854" s="3">
        <v>46168</v>
      </c>
    </row>
    <row r="855" spans="1:6" x14ac:dyDescent="0.3">
      <c r="A855" t="s">
        <v>91</v>
      </c>
      <c r="B855">
        <f t="shared" si="31"/>
        <v>200</v>
      </c>
      <c r="C855">
        <f t="shared" si="32"/>
        <v>5.6000000000000494E-4</v>
      </c>
      <c r="D855">
        <v>1.4825999999999999</v>
      </c>
      <c r="E855" s="1">
        <f t="shared" si="33"/>
        <v>1.2173611111111089</v>
      </c>
      <c r="F855" s="3">
        <v>46168</v>
      </c>
    </row>
    <row r="856" spans="1:6" x14ac:dyDescent="0.3">
      <c r="A856" t="s">
        <v>92</v>
      </c>
      <c r="B856">
        <f t="shared" si="31"/>
        <v>200</v>
      </c>
      <c r="C856">
        <f t="shared" si="32"/>
        <v>1.0599999999999943E-3</v>
      </c>
      <c r="D856">
        <v>1.802</v>
      </c>
      <c r="E856" s="1">
        <f t="shared" si="33"/>
        <v>1.2180555555555532</v>
      </c>
      <c r="F856" s="3">
        <v>46168</v>
      </c>
    </row>
    <row r="857" spans="1:6" x14ac:dyDescent="0.3">
      <c r="A857" t="s">
        <v>93</v>
      </c>
      <c r="B857">
        <f t="shared" si="31"/>
        <v>220</v>
      </c>
      <c r="C857">
        <f t="shared" si="32"/>
        <v>1.1449999999999961E-3</v>
      </c>
      <c r="D857">
        <v>2.5488</v>
      </c>
      <c r="E857" s="1">
        <f t="shared" si="33"/>
        <v>0.51597222222222217</v>
      </c>
      <c r="F857" s="3">
        <v>46168</v>
      </c>
    </row>
    <row r="858" spans="1:6" x14ac:dyDescent="0.3">
      <c r="A858" t="s">
        <v>94</v>
      </c>
      <c r="B858">
        <f t="shared" si="31"/>
        <v>220</v>
      </c>
      <c r="C858">
        <f t="shared" si="32"/>
        <v>5.7000000000000388E-4</v>
      </c>
      <c r="D858">
        <v>1.6776</v>
      </c>
      <c r="E858" s="1">
        <f t="shared" si="33"/>
        <v>1.2180555555555532</v>
      </c>
      <c r="F858" s="3">
        <v>46168</v>
      </c>
    </row>
    <row r="859" spans="1:6" x14ac:dyDescent="0.3">
      <c r="A859" t="s">
        <v>95</v>
      </c>
      <c r="B859">
        <f t="shared" si="31"/>
        <v>220</v>
      </c>
      <c r="C859">
        <f t="shared" si="32"/>
        <v>6.6500000000000445E-4</v>
      </c>
      <c r="D859">
        <v>2.81</v>
      </c>
      <c r="E859" s="1">
        <f t="shared" si="33"/>
        <v>1.2298611111111089</v>
      </c>
      <c r="F859" s="3">
        <v>46168</v>
      </c>
    </row>
    <row r="860" spans="1:6" x14ac:dyDescent="0.3">
      <c r="A860" t="s">
        <v>87</v>
      </c>
      <c r="B860">
        <f t="shared" si="31"/>
        <v>220</v>
      </c>
      <c r="C860">
        <f t="shared" si="32"/>
        <v>8.2999999999999741E-4</v>
      </c>
      <c r="D860">
        <v>1.3935999999999999</v>
      </c>
      <c r="E860" s="1">
        <f t="shared" si="33"/>
        <v>1.2305555555555532</v>
      </c>
      <c r="F860" s="3">
        <v>46168</v>
      </c>
    </row>
    <row r="861" spans="1:6" x14ac:dyDescent="0.3">
      <c r="A861" t="s">
        <v>88</v>
      </c>
      <c r="B861">
        <f t="shared" si="31"/>
        <v>220</v>
      </c>
      <c r="C861">
        <f t="shared" si="32"/>
        <v>5.0000000000000044E-4</v>
      </c>
      <c r="D861">
        <v>1.2843</v>
      </c>
      <c r="E861" s="1">
        <f t="shared" si="33"/>
        <v>1.2305555555555532</v>
      </c>
      <c r="F861" s="3">
        <v>46168</v>
      </c>
    </row>
    <row r="862" spans="1:6" x14ac:dyDescent="0.3">
      <c r="A862" t="s">
        <v>89</v>
      </c>
      <c r="B862">
        <f t="shared" si="31"/>
        <v>220</v>
      </c>
      <c r="C862">
        <f t="shared" si="32"/>
        <v>3.750000000000031E-4</v>
      </c>
      <c r="D862">
        <v>0.87519999999999998</v>
      </c>
      <c r="E862" s="1">
        <f t="shared" si="33"/>
        <v>1.2312499999999977</v>
      </c>
      <c r="F862" s="3">
        <v>46168</v>
      </c>
    </row>
    <row r="863" spans="1:6" x14ac:dyDescent="0.3">
      <c r="A863" t="s">
        <v>90</v>
      </c>
      <c r="B863">
        <f t="shared" si="31"/>
        <v>220</v>
      </c>
      <c r="C863">
        <f t="shared" si="32"/>
        <v>7.9000000000000186E-4</v>
      </c>
      <c r="D863">
        <v>2.7827999999999999</v>
      </c>
      <c r="E863" s="1">
        <f t="shared" si="33"/>
        <v>1.2312499999999977</v>
      </c>
      <c r="F863" s="3">
        <v>46168</v>
      </c>
    </row>
    <row r="864" spans="1:6" x14ac:dyDescent="0.3">
      <c r="A864" t="s">
        <v>91</v>
      </c>
      <c r="B864">
        <f t="shared" si="31"/>
        <v>220</v>
      </c>
      <c r="C864">
        <f t="shared" si="32"/>
        <v>5.0000000000000044E-4</v>
      </c>
      <c r="D864">
        <v>1.4725999999999999</v>
      </c>
      <c r="E864" s="1">
        <f t="shared" si="33"/>
        <v>1.2312499999999977</v>
      </c>
      <c r="F864" s="3">
        <v>46168</v>
      </c>
    </row>
    <row r="865" spans="1:6" x14ac:dyDescent="0.3">
      <c r="A865" t="s">
        <v>92</v>
      </c>
      <c r="B865">
        <f t="shared" si="31"/>
        <v>220</v>
      </c>
      <c r="C865">
        <f t="shared" si="32"/>
        <v>1.0600000000000054E-3</v>
      </c>
      <c r="D865">
        <v>1.7807999999999999</v>
      </c>
      <c r="E865" s="1">
        <f t="shared" si="33"/>
        <v>1.2319444444444421</v>
      </c>
      <c r="F865" s="3">
        <v>46168</v>
      </c>
    </row>
    <row r="866" spans="1:6" x14ac:dyDescent="0.3">
      <c r="A866" t="s">
        <v>93</v>
      </c>
      <c r="B866">
        <f t="shared" si="31"/>
        <v>240</v>
      </c>
      <c r="C866">
        <f t="shared" si="32"/>
        <v>1.1749999999999927E-3</v>
      </c>
      <c r="D866">
        <v>2.5253000000000001</v>
      </c>
      <c r="E866" s="1">
        <f t="shared" si="33"/>
        <v>0.52986111111111101</v>
      </c>
      <c r="F866" s="3">
        <v>46168</v>
      </c>
    </row>
    <row r="867" spans="1:6" x14ac:dyDescent="0.3">
      <c r="A867" t="s">
        <v>94</v>
      </c>
      <c r="B867">
        <f t="shared" si="31"/>
        <v>240</v>
      </c>
      <c r="C867">
        <f t="shared" si="32"/>
        <v>5.5499999999999441E-4</v>
      </c>
      <c r="D867">
        <v>1.6665000000000001</v>
      </c>
      <c r="E867" s="1">
        <f t="shared" si="33"/>
        <v>1.2319444444444421</v>
      </c>
      <c r="F867" s="3">
        <v>46168</v>
      </c>
    </row>
    <row r="868" spans="1:6" x14ac:dyDescent="0.3">
      <c r="A868" t="s">
        <v>95</v>
      </c>
      <c r="B868">
        <f t="shared" si="31"/>
        <v>240</v>
      </c>
      <c r="C868">
        <f t="shared" si="32"/>
        <v>6.2999999999999721E-4</v>
      </c>
      <c r="D868">
        <v>2.7974000000000001</v>
      </c>
      <c r="E868" s="1">
        <f t="shared" si="33"/>
        <v>1.2437499999999977</v>
      </c>
      <c r="F868" s="3">
        <v>46168</v>
      </c>
    </row>
    <row r="869" spans="1:6" x14ac:dyDescent="0.3">
      <c r="A869" t="s">
        <v>87</v>
      </c>
      <c r="B869">
        <f t="shared" si="31"/>
        <v>240</v>
      </c>
      <c r="C869">
        <f t="shared" si="32"/>
        <v>7.9000000000000186E-4</v>
      </c>
      <c r="D869">
        <v>1.3777999999999999</v>
      </c>
      <c r="E869" s="1">
        <f t="shared" si="33"/>
        <v>1.244444444444442</v>
      </c>
      <c r="F869" s="3">
        <v>46168</v>
      </c>
    </row>
    <row r="870" spans="1:6" x14ac:dyDescent="0.3">
      <c r="A870" t="s">
        <v>88</v>
      </c>
      <c r="B870">
        <f t="shared" si="31"/>
        <v>240</v>
      </c>
      <c r="C870">
        <f t="shared" si="32"/>
        <v>5.39999999999996E-4</v>
      </c>
      <c r="D870">
        <v>1.2735000000000001</v>
      </c>
      <c r="E870" s="1">
        <f t="shared" si="33"/>
        <v>1.244444444444442</v>
      </c>
      <c r="F870" s="3">
        <v>46168</v>
      </c>
    </row>
    <row r="871" spans="1:6" x14ac:dyDescent="0.3">
      <c r="A871" t="s">
        <v>89</v>
      </c>
      <c r="B871">
        <f t="shared" si="31"/>
        <v>240</v>
      </c>
      <c r="C871">
        <f t="shared" si="32"/>
        <v>3.4500000000000085E-4</v>
      </c>
      <c r="D871">
        <v>0.86829999999999996</v>
      </c>
      <c r="E871" s="1">
        <f t="shared" si="33"/>
        <v>1.2451388888888866</v>
      </c>
      <c r="F871" s="3">
        <v>46168</v>
      </c>
    </row>
    <row r="872" spans="1:6" x14ac:dyDescent="0.3">
      <c r="A872" t="s">
        <v>90</v>
      </c>
      <c r="B872">
        <f t="shared" si="31"/>
        <v>240</v>
      </c>
      <c r="C872">
        <f t="shared" si="32"/>
        <v>7.8499999999999122E-4</v>
      </c>
      <c r="D872">
        <v>2.7671000000000001</v>
      </c>
      <c r="E872" s="1">
        <f t="shared" si="33"/>
        <v>1.2451388888888866</v>
      </c>
      <c r="F872" s="3">
        <v>46168</v>
      </c>
    </row>
    <row r="873" spans="1:6" x14ac:dyDescent="0.3">
      <c r="A873" t="s">
        <v>91</v>
      </c>
      <c r="B873">
        <f t="shared" si="31"/>
        <v>240</v>
      </c>
      <c r="C873">
        <f t="shared" si="32"/>
        <v>5.8999999999999049E-4</v>
      </c>
      <c r="D873">
        <v>1.4608000000000001</v>
      </c>
      <c r="E873" s="1">
        <f t="shared" si="33"/>
        <v>1.2451388888888866</v>
      </c>
      <c r="F873" s="3">
        <v>46168</v>
      </c>
    </row>
    <row r="874" spans="1:6" x14ac:dyDescent="0.3">
      <c r="A874" t="s">
        <v>92</v>
      </c>
      <c r="B874">
        <f t="shared" si="31"/>
        <v>240</v>
      </c>
      <c r="C874">
        <f t="shared" si="32"/>
        <v>1.0599999999999943E-3</v>
      </c>
      <c r="D874">
        <v>1.7596000000000001</v>
      </c>
      <c r="E874" s="1">
        <f t="shared" si="33"/>
        <v>1.2458333333333309</v>
      </c>
      <c r="F874" s="3">
        <v>46168</v>
      </c>
    </row>
    <row r="875" spans="1:6" x14ac:dyDescent="0.3">
      <c r="A875" t="s">
        <v>93</v>
      </c>
      <c r="B875">
        <f t="shared" si="31"/>
        <v>260</v>
      </c>
      <c r="C875">
        <f t="shared" si="32"/>
        <v>1.1700000000000044E-3</v>
      </c>
      <c r="D875">
        <v>2.5019</v>
      </c>
      <c r="E875" s="1">
        <f t="shared" si="33"/>
        <v>0.54374999999999984</v>
      </c>
      <c r="F875" s="3">
        <v>46168</v>
      </c>
    </row>
    <row r="876" spans="1:6" x14ac:dyDescent="0.3">
      <c r="A876" t="s">
        <v>94</v>
      </c>
      <c r="B876">
        <f t="shared" si="31"/>
        <v>260</v>
      </c>
      <c r="C876">
        <f t="shared" si="32"/>
        <v>5.1500000000000992E-4</v>
      </c>
      <c r="D876">
        <v>1.6561999999999999</v>
      </c>
      <c r="E876" s="1">
        <f t="shared" si="33"/>
        <v>1.2458333333333309</v>
      </c>
      <c r="F876" s="3">
        <v>46168</v>
      </c>
    </row>
    <row r="877" spans="1:6" x14ac:dyDescent="0.3">
      <c r="A877" t="s">
        <v>95</v>
      </c>
      <c r="B877">
        <f t="shared" si="31"/>
        <v>260</v>
      </c>
      <c r="C877">
        <f t="shared" si="32"/>
        <v>6.1999999999999837E-4</v>
      </c>
      <c r="D877">
        <v>2.7850000000000001</v>
      </c>
      <c r="E877" s="1">
        <f t="shared" si="33"/>
        <v>1.2576388888888865</v>
      </c>
      <c r="F877" s="3">
        <v>46168</v>
      </c>
    </row>
    <row r="878" spans="1:6" x14ac:dyDescent="0.3">
      <c r="A878" t="s">
        <v>87</v>
      </c>
      <c r="B878">
        <f t="shared" si="31"/>
        <v>260</v>
      </c>
      <c r="C878">
        <f t="shared" si="32"/>
        <v>7.5999999999999397E-4</v>
      </c>
      <c r="D878">
        <v>1.3626</v>
      </c>
      <c r="E878" s="1">
        <f t="shared" si="33"/>
        <v>1.2583333333333309</v>
      </c>
      <c r="F878" s="3">
        <v>46168</v>
      </c>
    </row>
    <row r="879" spans="1:6" x14ac:dyDescent="0.3">
      <c r="A879" t="s">
        <v>88</v>
      </c>
      <c r="B879">
        <f t="shared" si="31"/>
        <v>260</v>
      </c>
      <c r="C879">
        <f t="shared" si="32"/>
        <v>5.4500000000000663E-4</v>
      </c>
      <c r="D879">
        <v>1.2625999999999999</v>
      </c>
      <c r="E879" s="1">
        <f t="shared" si="33"/>
        <v>1.2583333333333309</v>
      </c>
      <c r="F879" s="3">
        <v>46168</v>
      </c>
    </row>
    <row r="880" spans="1:6" x14ac:dyDescent="0.3">
      <c r="A880" t="s">
        <v>89</v>
      </c>
      <c r="B880">
        <f t="shared" si="31"/>
        <v>260</v>
      </c>
      <c r="C880">
        <f t="shared" si="32"/>
        <v>3.699999999999981E-4</v>
      </c>
      <c r="D880">
        <v>0.8609</v>
      </c>
      <c r="E880" s="1">
        <f t="shared" si="33"/>
        <v>1.2590277777777754</v>
      </c>
      <c r="F880" s="3">
        <v>46168</v>
      </c>
    </row>
    <row r="881" spans="1:6" x14ac:dyDescent="0.3">
      <c r="A881" t="s">
        <v>90</v>
      </c>
      <c r="B881">
        <f t="shared" si="31"/>
        <v>260</v>
      </c>
      <c r="C881">
        <f t="shared" si="32"/>
        <v>7.7500000000001461E-4</v>
      </c>
      <c r="D881">
        <v>2.7515999999999998</v>
      </c>
      <c r="E881" s="1">
        <f t="shared" si="33"/>
        <v>1.2590277777777754</v>
      </c>
      <c r="F881" s="3">
        <v>46168</v>
      </c>
    </row>
    <row r="882" spans="1:6" x14ac:dyDescent="0.3">
      <c r="A882" t="s">
        <v>91</v>
      </c>
      <c r="B882">
        <f t="shared" si="31"/>
        <v>260</v>
      </c>
      <c r="C882">
        <f t="shared" si="32"/>
        <v>5.7000000000000388E-4</v>
      </c>
      <c r="D882">
        <v>1.4494</v>
      </c>
      <c r="E882" s="1">
        <f t="shared" si="33"/>
        <v>1.2590277777777754</v>
      </c>
      <c r="F882" s="3">
        <v>46168</v>
      </c>
    </row>
    <row r="883" spans="1:6" x14ac:dyDescent="0.3">
      <c r="A883" t="s">
        <v>92</v>
      </c>
      <c r="B883">
        <f t="shared" si="31"/>
        <v>260</v>
      </c>
      <c r="C883">
        <f t="shared" si="32"/>
        <v>9.7500000000000364E-4</v>
      </c>
      <c r="D883">
        <v>1.7401</v>
      </c>
      <c r="E883" s="1">
        <f t="shared" si="33"/>
        <v>1.2597222222222197</v>
      </c>
      <c r="F883" s="3">
        <v>46168</v>
      </c>
    </row>
    <row r="884" spans="1:6" x14ac:dyDescent="0.3">
      <c r="A884" t="s">
        <v>121</v>
      </c>
      <c r="B884">
        <v>0</v>
      </c>
      <c r="C884">
        <v>0</v>
      </c>
      <c r="D884">
        <v>1.9067000000000001</v>
      </c>
      <c r="E884" s="1">
        <f>E875+12/1440</f>
        <v>0.55208333333333315</v>
      </c>
      <c r="F884" s="3">
        <v>46175</v>
      </c>
    </row>
    <row r="885" spans="1:6" x14ac:dyDescent="0.3">
      <c r="A885" t="s">
        <v>122</v>
      </c>
      <c r="B885">
        <v>0</v>
      </c>
      <c r="C885">
        <v>0</v>
      </c>
      <c r="D885">
        <v>3.6524999999999999</v>
      </c>
      <c r="E885" s="1">
        <f t="shared" ref="E885:E892" si="34">E876+12/1440</f>
        <v>1.2541666666666642</v>
      </c>
      <c r="F885" s="3">
        <v>46175</v>
      </c>
    </row>
    <row r="886" spans="1:6" x14ac:dyDescent="0.3">
      <c r="A886" t="s">
        <v>123</v>
      </c>
      <c r="B886">
        <v>0</v>
      </c>
      <c r="C886">
        <v>0</v>
      </c>
      <c r="D886">
        <v>3.1682999999999999</v>
      </c>
      <c r="E886" s="1">
        <f t="shared" si="34"/>
        <v>1.2659722222222198</v>
      </c>
      <c r="F886" s="3">
        <v>46175</v>
      </c>
    </row>
    <row r="887" spans="1:6" x14ac:dyDescent="0.3">
      <c r="A887" t="s">
        <v>124</v>
      </c>
      <c r="B887">
        <v>0</v>
      </c>
      <c r="C887">
        <v>0</v>
      </c>
      <c r="D887">
        <v>3.5981000000000001</v>
      </c>
      <c r="E887" s="1">
        <f t="shared" si="34"/>
        <v>1.2666666666666642</v>
      </c>
      <c r="F887" s="3">
        <v>46175</v>
      </c>
    </row>
    <row r="888" spans="1:6" x14ac:dyDescent="0.3">
      <c r="A888" t="s">
        <v>125</v>
      </c>
      <c r="B888">
        <v>0</v>
      </c>
      <c r="C888">
        <v>0</v>
      </c>
      <c r="D888">
        <v>3.1215000000000002</v>
      </c>
      <c r="E888" s="1">
        <f t="shared" si="34"/>
        <v>1.2666666666666642</v>
      </c>
      <c r="F888" s="3">
        <v>46175</v>
      </c>
    </row>
    <row r="889" spans="1:6" x14ac:dyDescent="0.3">
      <c r="A889" t="s">
        <v>126</v>
      </c>
      <c r="B889">
        <v>0</v>
      </c>
      <c r="C889">
        <v>0</v>
      </c>
      <c r="D889">
        <v>2.3109000000000002</v>
      </c>
      <c r="E889" s="1">
        <f t="shared" si="34"/>
        <v>1.2673611111111087</v>
      </c>
      <c r="F889" s="3">
        <v>46175</v>
      </c>
    </row>
    <row r="890" spans="1:6" x14ac:dyDescent="0.3">
      <c r="A890" t="s">
        <v>98</v>
      </c>
      <c r="B890">
        <v>0</v>
      </c>
      <c r="C890">
        <v>0</v>
      </c>
      <c r="D890">
        <v>1.2423</v>
      </c>
      <c r="E890" s="1">
        <f t="shared" si="34"/>
        <v>1.2673611111111087</v>
      </c>
      <c r="F890" s="3">
        <v>46175</v>
      </c>
    </row>
    <row r="891" spans="1:6" x14ac:dyDescent="0.3">
      <c r="A891" t="s">
        <v>127</v>
      </c>
      <c r="B891">
        <v>0</v>
      </c>
      <c r="C891">
        <v>0</v>
      </c>
      <c r="D891">
        <v>2.2372000000000001</v>
      </c>
      <c r="E891" s="1">
        <f t="shared" si="34"/>
        <v>1.2673611111111087</v>
      </c>
      <c r="F891" s="3">
        <v>46175</v>
      </c>
    </row>
    <row r="892" spans="1:6" x14ac:dyDescent="0.3">
      <c r="A892" t="s">
        <v>128</v>
      </c>
      <c r="B892">
        <v>0</v>
      </c>
      <c r="C892">
        <v>0</v>
      </c>
      <c r="D892">
        <v>1.4585999999999999</v>
      </c>
      <c r="E892" s="1">
        <f t="shared" si="34"/>
        <v>1.268055555555553</v>
      </c>
      <c r="F892" s="3">
        <v>46175</v>
      </c>
    </row>
    <row r="893" spans="1:6" x14ac:dyDescent="0.3">
      <c r="A893" t="s">
        <v>121</v>
      </c>
      <c r="B893">
        <f>B884+20</f>
        <v>20</v>
      </c>
      <c r="C893">
        <f>(D884-D893)/20</f>
        <v>1.5550000000000065E-3</v>
      </c>
      <c r="D893">
        <v>1.8755999999999999</v>
      </c>
      <c r="E893" s="1">
        <f>E884+20/1440</f>
        <v>0.56597222222222199</v>
      </c>
      <c r="F893" s="3">
        <v>46175</v>
      </c>
    </row>
    <row r="894" spans="1:6" x14ac:dyDescent="0.3">
      <c r="A894" t="s">
        <v>122</v>
      </c>
      <c r="B894">
        <f t="shared" ref="B894:B957" si="35">B885+20</f>
        <v>20</v>
      </c>
      <c r="C894">
        <f t="shared" ref="C894:C957" si="36">(D885-D894)/20</f>
        <v>1.4599999999999947E-3</v>
      </c>
      <c r="D894">
        <v>3.6233</v>
      </c>
      <c r="E894" s="1">
        <f t="shared" ref="E894:E957" si="37">E885+20/1440</f>
        <v>1.268055555555553</v>
      </c>
      <c r="F894" s="3">
        <v>46175</v>
      </c>
    </row>
    <row r="895" spans="1:6" x14ac:dyDescent="0.3">
      <c r="A895" t="s">
        <v>123</v>
      </c>
      <c r="B895">
        <f t="shared" si="35"/>
        <v>20</v>
      </c>
      <c r="C895">
        <f t="shared" si="36"/>
        <v>9.2999999999998639E-4</v>
      </c>
      <c r="D895">
        <v>3.1497000000000002</v>
      </c>
      <c r="E895" s="1">
        <f t="shared" si="37"/>
        <v>1.2798611111111087</v>
      </c>
      <c r="F895" s="3">
        <v>46175</v>
      </c>
    </row>
    <row r="896" spans="1:6" x14ac:dyDescent="0.3">
      <c r="A896" t="s">
        <v>124</v>
      </c>
      <c r="B896">
        <f t="shared" si="35"/>
        <v>20</v>
      </c>
      <c r="C896">
        <f t="shared" si="36"/>
        <v>1.200000000000001E-3</v>
      </c>
      <c r="D896">
        <v>3.5741000000000001</v>
      </c>
      <c r="E896" s="1">
        <f t="shared" si="37"/>
        <v>1.280555555555553</v>
      </c>
      <c r="F896" s="3">
        <v>46175</v>
      </c>
    </row>
    <row r="897" spans="1:6" x14ac:dyDescent="0.3">
      <c r="A897" t="s">
        <v>125</v>
      </c>
      <c r="B897">
        <f t="shared" si="35"/>
        <v>20</v>
      </c>
      <c r="C897">
        <f t="shared" si="36"/>
        <v>6.5000000000001721E-4</v>
      </c>
      <c r="D897">
        <v>3.1084999999999998</v>
      </c>
      <c r="E897" s="1">
        <f t="shared" si="37"/>
        <v>1.280555555555553</v>
      </c>
      <c r="F897" s="3">
        <v>46175</v>
      </c>
    </row>
    <row r="898" spans="1:6" x14ac:dyDescent="0.3">
      <c r="A898" t="s">
        <v>126</v>
      </c>
      <c r="B898">
        <f t="shared" si="35"/>
        <v>20</v>
      </c>
      <c r="C898">
        <f t="shared" si="36"/>
        <v>6.8000000000001393E-4</v>
      </c>
      <c r="D898">
        <v>2.2972999999999999</v>
      </c>
      <c r="E898" s="1">
        <f t="shared" si="37"/>
        <v>1.2812499999999976</v>
      </c>
      <c r="F898" s="3">
        <v>46175</v>
      </c>
    </row>
    <row r="899" spans="1:6" x14ac:dyDescent="0.3">
      <c r="A899" t="s">
        <v>98</v>
      </c>
      <c r="B899">
        <f t="shared" si="35"/>
        <v>20</v>
      </c>
      <c r="C899">
        <f t="shared" si="36"/>
        <v>8.7499999999999243E-4</v>
      </c>
      <c r="D899">
        <v>1.2248000000000001</v>
      </c>
      <c r="E899" s="1">
        <f t="shared" si="37"/>
        <v>1.2812499999999976</v>
      </c>
      <c r="F899" s="3">
        <v>46175</v>
      </c>
    </row>
    <row r="900" spans="1:6" x14ac:dyDescent="0.3">
      <c r="A900" t="s">
        <v>127</v>
      </c>
      <c r="B900">
        <f t="shared" si="35"/>
        <v>20</v>
      </c>
      <c r="C900">
        <f t="shared" si="36"/>
        <v>9.3499999999999692E-4</v>
      </c>
      <c r="D900">
        <v>2.2185000000000001</v>
      </c>
      <c r="E900" s="1">
        <f t="shared" si="37"/>
        <v>1.2812499999999976</v>
      </c>
      <c r="F900" s="3">
        <v>46175</v>
      </c>
    </row>
    <row r="901" spans="1:6" x14ac:dyDescent="0.3">
      <c r="A901" t="s">
        <v>128</v>
      </c>
      <c r="B901">
        <f t="shared" si="35"/>
        <v>20</v>
      </c>
      <c r="C901">
        <f t="shared" si="36"/>
        <v>9.9999999999998983E-4</v>
      </c>
      <c r="D901">
        <v>1.4386000000000001</v>
      </c>
      <c r="E901" s="1">
        <f t="shared" si="37"/>
        <v>1.2819444444444419</v>
      </c>
      <c r="F901" s="3">
        <v>46175</v>
      </c>
    </row>
    <row r="902" spans="1:6" x14ac:dyDescent="0.3">
      <c r="A902" t="s">
        <v>121</v>
      </c>
      <c r="B902">
        <f t="shared" si="35"/>
        <v>40</v>
      </c>
      <c r="C902">
        <f t="shared" si="36"/>
        <v>1.3549999999999951E-3</v>
      </c>
      <c r="D902">
        <v>1.8485</v>
      </c>
      <c r="E902" s="1">
        <f t="shared" si="37"/>
        <v>0.57986111111111083</v>
      </c>
      <c r="F902" s="3">
        <v>46175</v>
      </c>
    </row>
    <row r="903" spans="1:6" x14ac:dyDescent="0.3">
      <c r="A903" t="s">
        <v>122</v>
      </c>
      <c r="B903">
        <f t="shared" si="35"/>
        <v>40</v>
      </c>
      <c r="C903">
        <f t="shared" si="36"/>
        <v>1.6999999999999904E-3</v>
      </c>
      <c r="D903">
        <v>3.5893000000000002</v>
      </c>
      <c r="E903" s="1">
        <f t="shared" si="37"/>
        <v>1.2819444444444419</v>
      </c>
      <c r="F903" s="3">
        <v>46175</v>
      </c>
    </row>
    <row r="904" spans="1:6" x14ac:dyDescent="0.3">
      <c r="A904" t="s">
        <v>123</v>
      </c>
      <c r="B904">
        <f t="shared" si="35"/>
        <v>40</v>
      </c>
      <c r="C904">
        <f t="shared" si="36"/>
        <v>9.2000000000000968E-4</v>
      </c>
      <c r="D904">
        <v>3.1313</v>
      </c>
      <c r="E904" s="1">
        <f t="shared" si="37"/>
        <v>1.2937499999999975</v>
      </c>
      <c r="F904" s="3">
        <v>46175</v>
      </c>
    </row>
    <row r="905" spans="1:6" x14ac:dyDescent="0.3">
      <c r="A905" t="s">
        <v>124</v>
      </c>
      <c r="B905">
        <f t="shared" si="35"/>
        <v>40</v>
      </c>
      <c r="C905">
        <f t="shared" si="36"/>
        <v>1.0099999999999998E-3</v>
      </c>
      <c r="D905">
        <v>3.5539000000000001</v>
      </c>
      <c r="E905" s="1">
        <f t="shared" si="37"/>
        <v>1.2944444444444418</v>
      </c>
      <c r="F905" s="3">
        <v>46175</v>
      </c>
    </row>
    <row r="906" spans="1:6" x14ac:dyDescent="0.3">
      <c r="A906" t="s">
        <v>125</v>
      </c>
      <c r="B906">
        <f t="shared" si="35"/>
        <v>40</v>
      </c>
      <c r="C906">
        <f t="shared" si="36"/>
        <v>7.1499999999999895E-4</v>
      </c>
      <c r="D906">
        <v>3.0941999999999998</v>
      </c>
      <c r="E906" s="1">
        <f t="shared" si="37"/>
        <v>1.2944444444444418</v>
      </c>
      <c r="F906" s="3">
        <v>46175</v>
      </c>
    </row>
    <row r="907" spans="1:6" x14ac:dyDescent="0.3">
      <c r="A907" t="s">
        <v>126</v>
      </c>
      <c r="B907">
        <f t="shared" si="35"/>
        <v>40</v>
      </c>
      <c r="C907">
        <f t="shared" si="36"/>
        <v>8.3499999999998571E-4</v>
      </c>
      <c r="D907">
        <v>2.2806000000000002</v>
      </c>
      <c r="E907" s="1">
        <f t="shared" si="37"/>
        <v>1.2951388888888864</v>
      </c>
      <c r="F907" s="3">
        <v>46175</v>
      </c>
    </row>
    <row r="908" spans="1:6" x14ac:dyDescent="0.3">
      <c r="A908" t="s">
        <v>98</v>
      </c>
      <c r="B908">
        <f t="shared" si="35"/>
        <v>40</v>
      </c>
      <c r="C908">
        <f t="shared" si="36"/>
        <v>9.2000000000000968E-4</v>
      </c>
      <c r="D908">
        <v>1.2063999999999999</v>
      </c>
      <c r="E908" s="1">
        <f t="shared" si="37"/>
        <v>1.2951388888888864</v>
      </c>
      <c r="F908" s="3">
        <v>46175</v>
      </c>
    </row>
    <row r="909" spans="1:6" x14ac:dyDescent="0.3">
      <c r="A909" t="s">
        <v>127</v>
      </c>
      <c r="B909">
        <f t="shared" si="35"/>
        <v>40</v>
      </c>
      <c r="C909">
        <f t="shared" si="36"/>
        <v>9.3000000000000862E-4</v>
      </c>
      <c r="D909">
        <v>2.1999</v>
      </c>
      <c r="E909" s="1">
        <f t="shared" si="37"/>
        <v>1.2951388888888864</v>
      </c>
      <c r="F909" s="3">
        <v>46175</v>
      </c>
    </row>
    <row r="910" spans="1:6" x14ac:dyDescent="0.3">
      <c r="A910" t="s">
        <v>128</v>
      </c>
      <c r="B910">
        <f t="shared" si="35"/>
        <v>40</v>
      </c>
      <c r="C910">
        <f t="shared" si="36"/>
        <v>8.750000000000036E-4</v>
      </c>
      <c r="D910">
        <v>1.4211</v>
      </c>
      <c r="E910" s="1">
        <f t="shared" si="37"/>
        <v>1.2958333333333307</v>
      </c>
      <c r="F910" s="3">
        <v>46175</v>
      </c>
    </row>
    <row r="911" spans="1:6" x14ac:dyDescent="0.3">
      <c r="A911" t="s">
        <v>121</v>
      </c>
      <c r="B911">
        <f t="shared" si="35"/>
        <v>60</v>
      </c>
      <c r="C911">
        <f t="shared" si="36"/>
        <v>1.4449999999999962E-3</v>
      </c>
      <c r="D911">
        <v>1.8196000000000001</v>
      </c>
      <c r="E911" s="1">
        <f t="shared" si="37"/>
        <v>0.59374999999999967</v>
      </c>
      <c r="F911" s="3">
        <v>46175</v>
      </c>
    </row>
    <row r="912" spans="1:6" x14ac:dyDescent="0.3">
      <c r="A912" t="s">
        <v>122</v>
      </c>
      <c r="B912">
        <f t="shared" si="35"/>
        <v>60</v>
      </c>
      <c r="C912">
        <f t="shared" si="36"/>
        <v>1.7900000000000027E-3</v>
      </c>
      <c r="D912">
        <v>3.5535000000000001</v>
      </c>
      <c r="E912" s="1">
        <f t="shared" si="37"/>
        <v>1.2958333333333307</v>
      </c>
      <c r="F912" s="3">
        <v>46175</v>
      </c>
    </row>
    <row r="913" spans="1:6" x14ac:dyDescent="0.3">
      <c r="A913" t="s">
        <v>123</v>
      </c>
      <c r="B913">
        <f t="shared" si="35"/>
        <v>60</v>
      </c>
      <c r="C913">
        <f t="shared" si="36"/>
        <v>1.0099999999999998E-3</v>
      </c>
      <c r="D913">
        <v>3.1111</v>
      </c>
      <c r="E913" s="1">
        <f t="shared" si="37"/>
        <v>1.3076388888888864</v>
      </c>
      <c r="F913" s="3">
        <v>46175</v>
      </c>
    </row>
    <row r="914" spans="1:6" x14ac:dyDescent="0.3">
      <c r="A914" t="s">
        <v>124</v>
      </c>
      <c r="B914">
        <f t="shared" si="35"/>
        <v>60</v>
      </c>
      <c r="C914">
        <f t="shared" si="36"/>
        <v>1.1249999999999982E-3</v>
      </c>
      <c r="D914">
        <v>3.5314000000000001</v>
      </c>
      <c r="E914" s="1">
        <f t="shared" si="37"/>
        <v>1.3083333333333307</v>
      </c>
      <c r="F914" s="3">
        <v>46175</v>
      </c>
    </row>
    <row r="915" spans="1:6" x14ac:dyDescent="0.3">
      <c r="A915" t="s">
        <v>125</v>
      </c>
      <c r="B915">
        <f t="shared" si="35"/>
        <v>60</v>
      </c>
      <c r="C915">
        <f t="shared" si="36"/>
        <v>6.799999999999917E-4</v>
      </c>
      <c r="D915">
        <v>3.0806</v>
      </c>
      <c r="E915" s="1">
        <f t="shared" si="37"/>
        <v>1.3083333333333307</v>
      </c>
      <c r="F915" s="3">
        <v>46175</v>
      </c>
    </row>
    <row r="916" spans="1:6" x14ac:dyDescent="0.3">
      <c r="A916" t="s">
        <v>126</v>
      </c>
      <c r="B916">
        <f t="shared" si="35"/>
        <v>60</v>
      </c>
      <c r="C916">
        <f t="shared" si="36"/>
        <v>9.1499999999999915E-4</v>
      </c>
      <c r="D916">
        <v>2.2623000000000002</v>
      </c>
      <c r="E916" s="1">
        <f t="shared" si="37"/>
        <v>1.3090277777777752</v>
      </c>
      <c r="F916" s="3">
        <v>46175</v>
      </c>
    </row>
    <row r="917" spans="1:6" x14ac:dyDescent="0.3">
      <c r="A917" t="s">
        <v>98</v>
      </c>
      <c r="B917">
        <f t="shared" si="35"/>
        <v>60</v>
      </c>
      <c r="C917">
        <f t="shared" si="36"/>
        <v>8.8499999999999137E-4</v>
      </c>
      <c r="D917">
        <v>1.1887000000000001</v>
      </c>
      <c r="E917" s="1">
        <f t="shared" si="37"/>
        <v>1.3090277777777752</v>
      </c>
      <c r="F917" s="3">
        <v>46175</v>
      </c>
    </row>
    <row r="918" spans="1:6" x14ac:dyDescent="0.3">
      <c r="A918" t="s">
        <v>127</v>
      </c>
      <c r="B918">
        <f t="shared" si="35"/>
        <v>60</v>
      </c>
      <c r="C918">
        <f t="shared" si="36"/>
        <v>9.80000000000003E-4</v>
      </c>
      <c r="D918">
        <v>2.1802999999999999</v>
      </c>
      <c r="E918" s="1">
        <f t="shared" si="37"/>
        <v>1.3090277777777752</v>
      </c>
      <c r="F918" s="3">
        <v>46175</v>
      </c>
    </row>
    <row r="919" spans="1:6" x14ac:dyDescent="0.3">
      <c r="A919" t="s">
        <v>128</v>
      </c>
      <c r="B919">
        <f t="shared" si="35"/>
        <v>60</v>
      </c>
      <c r="C919">
        <f t="shared" si="36"/>
        <v>8.0000000000000069E-4</v>
      </c>
      <c r="D919">
        <v>1.4051</v>
      </c>
      <c r="E919" s="1">
        <f t="shared" si="37"/>
        <v>1.3097222222222196</v>
      </c>
      <c r="F919" s="3">
        <v>46175</v>
      </c>
    </row>
    <row r="920" spans="1:6" x14ac:dyDescent="0.3">
      <c r="A920" t="s">
        <v>121</v>
      </c>
      <c r="B920">
        <f t="shared" si="35"/>
        <v>80</v>
      </c>
      <c r="C920">
        <f t="shared" si="36"/>
        <v>1.4500000000000068E-3</v>
      </c>
      <c r="D920">
        <v>1.7906</v>
      </c>
      <c r="E920" s="1">
        <f t="shared" si="37"/>
        <v>0.60763888888888851</v>
      </c>
      <c r="F920" s="3">
        <v>46175</v>
      </c>
    </row>
    <row r="921" spans="1:6" x14ac:dyDescent="0.3">
      <c r="A921" t="s">
        <v>122</v>
      </c>
      <c r="B921">
        <f t="shared" si="35"/>
        <v>80</v>
      </c>
      <c r="C921">
        <f t="shared" si="36"/>
        <v>2.4050000000000126E-3</v>
      </c>
      <c r="D921">
        <v>3.5053999999999998</v>
      </c>
      <c r="E921" s="1">
        <f t="shared" si="37"/>
        <v>1.3097222222222196</v>
      </c>
      <c r="F921" s="3">
        <v>46175</v>
      </c>
    </row>
    <row r="922" spans="1:6" x14ac:dyDescent="0.3">
      <c r="A922" t="s">
        <v>123</v>
      </c>
      <c r="B922">
        <f t="shared" si="35"/>
        <v>80</v>
      </c>
      <c r="C922">
        <f t="shared" si="36"/>
        <v>1.1800000000000033E-3</v>
      </c>
      <c r="D922">
        <v>3.0874999999999999</v>
      </c>
      <c r="E922" s="1">
        <f t="shared" si="37"/>
        <v>1.3215277777777752</v>
      </c>
      <c r="F922" s="3">
        <v>46175</v>
      </c>
    </row>
    <row r="923" spans="1:6" x14ac:dyDescent="0.3">
      <c r="A923" t="s">
        <v>124</v>
      </c>
      <c r="B923">
        <f t="shared" si="35"/>
        <v>80</v>
      </c>
      <c r="C923">
        <f t="shared" si="36"/>
        <v>1.0900000000000133E-3</v>
      </c>
      <c r="D923">
        <v>3.5095999999999998</v>
      </c>
      <c r="E923" s="1">
        <f t="shared" si="37"/>
        <v>1.3222222222222195</v>
      </c>
      <c r="F923" s="3">
        <v>46175</v>
      </c>
    </row>
    <row r="924" spans="1:6" x14ac:dyDescent="0.3">
      <c r="A924" t="s">
        <v>125</v>
      </c>
      <c r="B924">
        <f t="shared" si="35"/>
        <v>80</v>
      </c>
      <c r="C924">
        <f t="shared" si="36"/>
        <v>6.6999999999999287E-4</v>
      </c>
      <c r="D924">
        <v>3.0672000000000001</v>
      </c>
      <c r="E924" s="1">
        <f t="shared" si="37"/>
        <v>1.3222222222222195</v>
      </c>
      <c r="F924" s="3">
        <v>46175</v>
      </c>
    </row>
    <row r="925" spans="1:6" x14ac:dyDescent="0.3">
      <c r="A925" t="s">
        <v>126</v>
      </c>
      <c r="B925">
        <f t="shared" si="35"/>
        <v>80</v>
      </c>
      <c r="C925">
        <f t="shared" si="36"/>
        <v>1.2099999999999999E-3</v>
      </c>
      <c r="D925">
        <v>2.2381000000000002</v>
      </c>
      <c r="E925" s="1">
        <f t="shared" si="37"/>
        <v>1.3229166666666641</v>
      </c>
      <c r="F925" s="3">
        <v>46175</v>
      </c>
    </row>
    <row r="926" spans="1:6" x14ac:dyDescent="0.3">
      <c r="A926" t="s">
        <v>98</v>
      </c>
      <c r="B926">
        <f t="shared" si="35"/>
        <v>80</v>
      </c>
      <c r="C926">
        <f t="shared" si="36"/>
        <v>9.3500000000000809E-4</v>
      </c>
      <c r="D926">
        <v>1.17</v>
      </c>
      <c r="E926" s="1">
        <f t="shared" si="37"/>
        <v>1.3229166666666641</v>
      </c>
      <c r="F926" s="3">
        <v>46175</v>
      </c>
    </row>
    <row r="927" spans="1:6" x14ac:dyDescent="0.3">
      <c r="A927" t="s">
        <v>127</v>
      </c>
      <c r="B927">
        <f t="shared" si="35"/>
        <v>80</v>
      </c>
      <c r="C927">
        <f t="shared" si="36"/>
        <v>8.6500000000000465E-4</v>
      </c>
      <c r="D927">
        <v>2.1629999999999998</v>
      </c>
      <c r="E927" s="1">
        <f t="shared" si="37"/>
        <v>1.3229166666666641</v>
      </c>
      <c r="F927" s="3">
        <v>46175</v>
      </c>
    </row>
    <row r="928" spans="1:6" x14ac:dyDescent="0.3">
      <c r="A928" t="s">
        <v>128</v>
      </c>
      <c r="B928">
        <f t="shared" si="35"/>
        <v>80</v>
      </c>
      <c r="C928">
        <f t="shared" si="36"/>
        <v>7.7500000000000344E-4</v>
      </c>
      <c r="D928">
        <v>1.3895999999999999</v>
      </c>
      <c r="E928" s="1">
        <f t="shared" si="37"/>
        <v>1.3236111111111084</v>
      </c>
      <c r="F928" s="3">
        <v>46175</v>
      </c>
    </row>
    <row r="929" spans="1:6" x14ac:dyDescent="0.3">
      <c r="A929" t="s">
        <v>121</v>
      </c>
      <c r="B929">
        <f t="shared" si="35"/>
        <v>100</v>
      </c>
      <c r="C929">
        <f t="shared" si="36"/>
        <v>1.2399999999999967E-3</v>
      </c>
      <c r="D929">
        <v>1.7658</v>
      </c>
      <c r="E929" s="1">
        <f t="shared" si="37"/>
        <v>0.62152777777777735</v>
      </c>
      <c r="F929" s="3">
        <v>46175</v>
      </c>
    </row>
    <row r="930" spans="1:6" x14ac:dyDescent="0.3">
      <c r="A930" t="s">
        <v>122</v>
      </c>
      <c r="B930">
        <f t="shared" si="35"/>
        <v>100</v>
      </c>
      <c r="C930">
        <f t="shared" si="36"/>
        <v>2.30999999999999E-3</v>
      </c>
      <c r="D930">
        <v>3.4592000000000001</v>
      </c>
      <c r="E930" s="1">
        <f t="shared" si="37"/>
        <v>1.3236111111111084</v>
      </c>
      <c r="F930" s="3">
        <v>46175</v>
      </c>
    </row>
    <row r="931" spans="1:6" x14ac:dyDescent="0.3">
      <c r="A931" t="s">
        <v>123</v>
      </c>
      <c r="B931">
        <f t="shared" si="35"/>
        <v>100</v>
      </c>
      <c r="C931">
        <f t="shared" si="36"/>
        <v>1.5900000000000024E-3</v>
      </c>
      <c r="D931">
        <v>3.0556999999999999</v>
      </c>
      <c r="E931" s="1">
        <f t="shared" si="37"/>
        <v>1.335416666666664</v>
      </c>
      <c r="F931" s="3">
        <v>46175</v>
      </c>
    </row>
    <row r="932" spans="1:6" x14ac:dyDescent="0.3">
      <c r="A932" t="s">
        <v>124</v>
      </c>
      <c r="B932">
        <f t="shared" si="35"/>
        <v>100</v>
      </c>
      <c r="C932">
        <f t="shared" si="36"/>
        <v>1.4699999999999934E-3</v>
      </c>
      <c r="D932">
        <v>3.4802</v>
      </c>
      <c r="E932" s="1">
        <f t="shared" si="37"/>
        <v>1.3361111111111084</v>
      </c>
      <c r="F932" s="3">
        <v>46175</v>
      </c>
    </row>
    <row r="933" spans="1:6" x14ac:dyDescent="0.3">
      <c r="A933" t="s">
        <v>125</v>
      </c>
      <c r="B933">
        <f t="shared" si="35"/>
        <v>100</v>
      </c>
      <c r="C933">
        <f t="shared" si="36"/>
        <v>7.2499999999999789E-4</v>
      </c>
      <c r="D933">
        <v>3.0527000000000002</v>
      </c>
      <c r="E933" s="1">
        <f t="shared" si="37"/>
        <v>1.3361111111111084</v>
      </c>
      <c r="F933" s="3">
        <v>46175</v>
      </c>
    </row>
    <row r="934" spans="1:6" x14ac:dyDescent="0.3">
      <c r="A934" t="s">
        <v>126</v>
      </c>
      <c r="B934">
        <f t="shared" si="35"/>
        <v>100</v>
      </c>
      <c r="C934">
        <f t="shared" si="36"/>
        <v>1.6100000000000003E-3</v>
      </c>
      <c r="D934">
        <v>2.2059000000000002</v>
      </c>
      <c r="E934" s="1">
        <f t="shared" si="37"/>
        <v>1.3368055555555529</v>
      </c>
      <c r="F934" s="3">
        <v>46175</v>
      </c>
    </row>
    <row r="935" spans="1:6" x14ac:dyDescent="0.3">
      <c r="A935" t="s">
        <v>98</v>
      </c>
      <c r="B935">
        <f t="shared" si="35"/>
        <v>100</v>
      </c>
      <c r="C935">
        <f t="shared" si="36"/>
        <v>8.8499999999999137E-4</v>
      </c>
      <c r="D935">
        <v>1.1523000000000001</v>
      </c>
      <c r="E935" s="1">
        <f t="shared" si="37"/>
        <v>1.3368055555555529</v>
      </c>
      <c r="F935" s="3">
        <v>46175</v>
      </c>
    </row>
    <row r="936" spans="1:6" x14ac:dyDescent="0.3">
      <c r="A936" t="s">
        <v>127</v>
      </c>
      <c r="B936">
        <f t="shared" si="35"/>
        <v>100</v>
      </c>
      <c r="C936">
        <f t="shared" si="36"/>
        <v>9.549999999999947E-4</v>
      </c>
      <c r="D936">
        <v>2.1438999999999999</v>
      </c>
      <c r="E936" s="1">
        <f t="shared" si="37"/>
        <v>1.3368055555555529</v>
      </c>
      <c r="F936" s="3">
        <v>46175</v>
      </c>
    </row>
    <row r="937" spans="1:6" x14ac:dyDescent="0.3">
      <c r="A937" t="s">
        <v>128</v>
      </c>
      <c r="B937">
        <f t="shared" si="35"/>
        <v>100</v>
      </c>
      <c r="C937">
        <f t="shared" si="36"/>
        <v>8.149999999999991E-4</v>
      </c>
      <c r="D937">
        <v>1.3733</v>
      </c>
      <c r="E937" s="1">
        <f t="shared" si="37"/>
        <v>1.3374999999999972</v>
      </c>
      <c r="F937" s="3">
        <v>46175</v>
      </c>
    </row>
    <row r="938" spans="1:6" x14ac:dyDescent="0.3">
      <c r="A938" t="s">
        <v>121</v>
      </c>
      <c r="B938">
        <f t="shared" si="35"/>
        <v>120</v>
      </c>
      <c r="C938">
        <f t="shared" si="36"/>
        <v>1.3299999999999979E-3</v>
      </c>
      <c r="D938">
        <v>1.7392000000000001</v>
      </c>
      <c r="E938" s="1">
        <f t="shared" si="37"/>
        <v>0.63541666666666619</v>
      </c>
      <c r="F938" s="3">
        <v>46175</v>
      </c>
    </row>
    <row r="939" spans="1:6" x14ac:dyDescent="0.3">
      <c r="A939" t="s">
        <v>122</v>
      </c>
      <c r="B939">
        <f t="shared" si="35"/>
        <v>120</v>
      </c>
      <c r="C939">
        <f t="shared" si="36"/>
        <v>1.6950000000000021E-3</v>
      </c>
      <c r="D939">
        <v>3.4253</v>
      </c>
      <c r="E939" s="1">
        <f t="shared" si="37"/>
        <v>1.3374999999999972</v>
      </c>
      <c r="F939" s="3">
        <v>46175</v>
      </c>
    </row>
    <row r="940" spans="1:6" x14ac:dyDescent="0.3">
      <c r="A940" t="s">
        <v>123</v>
      </c>
      <c r="B940">
        <f t="shared" si="35"/>
        <v>120</v>
      </c>
      <c r="C940">
        <f t="shared" si="36"/>
        <v>2.2699999999999942E-3</v>
      </c>
      <c r="D940">
        <v>3.0103</v>
      </c>
      <c r="E940" s="1">
        <f t="shared" si="37"/>
        <v>1.3493055555555529</v>
      </c>
      <c r="F940" s="3">
        <v>46175</v>
      </c>
    </row>
    <row r="941" spans="1:6" x14ac:dyDescent="0.3">
      <c r="A941" t="s">
        <v>124</v>
      </c>
      <c r="B941">
        <f t="shared" si="35"/>
        <v>120</v>
      </c>
      <c r="C941">
        <f t="shared" si="36"/>
        <v>4.8999999999999044E-4</v>
      </c>
      <c r="D941">
        <v>3.4704000000000002</v>
      </c>
      <c r="E941" s="1">
        <f t="shared" si="37"/>
        <v>1.3499999999999972</v>
      </c>
      <c r="F941" s="3">
        <v>46175</v>
      </c>
    </row>
    <row r="942" spans="1:6" x14ac:dyDescent="0.3">
      <c r="A942" t="s">
        <v>125</v>
      </c>
      <c r="B942">
        <f t="shared" si="35"/>
        <v>120</v>
      </c>
      <c r="C942">
        <f t="shared" si="36"/>
        <v>6.9000000000001287E-4</v>
      </c>
      <c r="D942">
        <v>3.0388999999999999</v>
      </c>
      <c r="E942" s="1">
        <f t="shared" si="37"/>
        <v>1.3499999999999972</v>
      </c>
      <c r="F942" s="3">
        <v>46175</v>
      </c>
    </row>
    <row r="943" spans="1:6" x14ac:dyDescent="0.3">
      <c r="A943" t="s">
        <v>126</v>
      </c>
      <c r="B943">
        <f t="shared" si="35"/>
        <v>120</v>
      </c>
      <c r="C943">
        <f t="shared" si="36"/>
        <v>1.0700000000000154E-3</v>
      </c>
      <c r="D943">
        <v>2.1844999999999999</v>
      </c>
      <c r="E943" s="1">
        <f t="shared" si="37"/>
        <v>1.3506944444444418</v>
      </c>
      <c r="F943" s="3">
        <v>46175</v>
      </c>
    </row>
    <row r="944" spans="1:6" x14ac:dyDescent="0.3">
      <c r="A944" t="s">
        <v>98</v>
      </c>
      <c r="B944">
        <f t="shared" si="35"/>
        <v>120</v>
      </c>
      <c r="C944">
        <f t="shared" si="36"/>
        <v>8.8500000000000243E-4</v>
      </c>
      <c r="D944">
        <v>1.1346000000000001</v>
      </c>
      <c r="E944" s="1">
        <f t="shared" si="37"/>
        <v>1.3506944444444418</v>
      </c>
      <c r="F944" s="3">
        <v>46175</v>
      </c>
    </row>
    <row r="945" spans="1:6" x14ac:dyDescent="0.3">
      <c r="A945" t="s">
        <v>127</v>
      </c>
      <c r="B945">
        <f t="shared" si="35"/>
        <v>120</v>
      </c>
      <c r="C945">
        <f t="shared" si="36"/>
        <v>8.5999999999999412E-4</v>
      </c>
      <c r="D945">
        <v>2.1267</v>
      </c>
      <c r="E945" s="1">
        <f t="shared" si="37"/>
        <v>1.3506944444444418</v>
      </c>
      <c r="F945" s="3">
        <v>46175</v>
      </c>
    </row>
    <row r="946" spans="1:6" x14ac:dyDescent="0.3">
      <c r="A946" t="s">
        <v>128</v>
      </c>
      <c r="B946">
        <f t="shared" si="35"/>
        <v>120</v>
      </c>
      <c r="C946">
        <f t="shared" si="36"/>
        <v>8.0000000000000069E-4</v>
      </c>
      <c r="D946">
        <v>1.3573</v>
      </c>
      <c r="E946" s="1">
        <f t="shared" si="37"/>
        <v>1.3513888888888861</v>
      </c>
      <c r="F946" s="3">
        <v>46175</v>
      </c>
    </row>
    <row r="947" spans="1:6" x14ac:dyDescent="0.3">
      <c r="A947" s="6" t="s">
        <v>121</v>
      </c>
      <c r="B947" s="6">
        <f t="shared" si="35"/>
        <v>140</v>
      </c>
      <c r="C947" s="6">
        <f t="shared" si="36"/>
        <v>1.3400000000000079E-3</v>
      </c>
      <c r="D947" s="6">
        <v>1.7123999999999999</v>
      </c>
      <c r="E947" s="8">
        <f t="shared" si="37"/>
        <v>0.64930555555555503</v>
      </c>
      <c r="F947" s="11">
        <v>46175</v>
      </c>
    </row>
    <row r="948" spans="1:6" x14ac:dyDescent="0.3">
      <c r="A948" t="s">
        <v>122</v>
      </c>
      <c r="B948">
        <f t="shared" si="35"/>
        <v>140</v>
      </c>
      <c r="C948">
        <f t="shared" si="36"/>
        <v>1.4250000000000096E-3</v>
      </c>
      <c r="D948">
        <v>3.3967999999999998</v>
      </c>
      <c r="E948" s="1">
        <f t="shared" si="37"/>
        <v>1.3513888888888861</v>
      </c>
      <c r="F948" s="3">
        <v>46175</v>
      </c>
    </row>
    <row r="949" spans="1:6" x14ac:dyDescent="0.3">
      <c r="A949" t="s">
        <v>123</v>
      </c>
      <c r="B949">
        <f t="shared" si="35"/>
        <v>140</v>
      </c>
      <c r="C949">
        <f t="shared" si="36"/>
        <v>2.2350000000000091E-3</v>
      </c>
      <c r="D949">
        <v>2.9655999999999998</v>
      </c>
      <c r="E949" s="1">
        <f t="shared" si="37"/>
        <v>1.3631944444444417</v>
      </c>
      <c r="F949" s="3">
        <v>46175</v>
      </c>
    </row>
    <row r="950" spans="1:6" x14ac:dyDescent="0.3">
      <c r="A950" t="s">
        <v>124</v>
      </c>
      <c r="B950">
        <f t="shared" si="35"/>
        <v>140</v>
      </c>
      <c r="C950">
        <f t="shared" si="36"/>
        <v>9.6500000000001587E-4</v>
      </c>
      <c r="D950">
        <v>3.4510999999999998</v>
      </c>
      <c r="E950" s="1">
        <f t="shared" si="37"/>
        <v>1.363888888888886</v>
      </c>
      <c r="F950" s="3">
        <v>46175</v>
      </c>
    </row>
    <row r="951" spans="1:6" x14ac:dyDescent="0.3">
      <c r="A951" t="s">
        <v>125</v>
      </c>
      <c r="B951">
        <f t="shared" si="35"/>
        <v>140</v>
      </c>
      <c r="C951">
        <f t="shared" si="36"/>
        <v>6.8500000000000223E-4</v>
      </c>
      <c r="D951">
        <v>3.0251999999999999</v>
      </c>
      <c r="E951" s="1">
        <f t="shared" si="37"/>
        <v>1.363888888888886</v>
      </c>
      <c r="F951" s="3">
        <v>46175</v>
      </c>
    </row>
    <row r="952" spans="1:6" x14ac:dyDescent="0.3">
      <c r="A952" t="s">
        <v>126</v>
      </c>
      <c r="B952">
        <f t="shared" si="35"/>
        <v>140</v>
      </c>
      <c r="C952">
        <f t="shared" si="36"/>
        <v>7.6000000000000514E-4</v>
      </c>
      <c r="D952">
        <v>2.1692999999999998</v>
      </c>
      <c r="E952" s="1">
        <f t="shared" si="37"/>
        <v>1.3645833333333306</v>
      </c>
      <c r="F952" s="3">
        <v>46175</v>
      </c>
    </row>
    <row r="953" spans="1:6" x14ac:dyDescent="0.3">
      <c r="A953" t="s">
        <v>98</v>
      </c>
      <c r="B953">
        <f t="shared" si="35"/>
        <v>140</v>
      </c>
      <c r="C953">
        <f t="shared" si="36"/>
        <v>9.5500000000000587E-4</v>
      </c>
      <c r="D953">
        <v>1.1154999999999999</v>
      </c>
      <c r="E953" s="1">
        <f t="shared" si="37"/>
        <v>1.3645833333333306</v>
      </c>
      <c r="F953" s="3">
        <v>46175</v>
      </c>
    </row>
    <row r="954" spans="1:6" x14ac:dyDescent="0.3">
      <c r="A954" t="s">
        <v>127</v>
      </c>
      <c r="B954">
        <f t="shared" si="35"/>
        <v>140</v>
      </c>
      <c r="C954">
        <f t="shared" si="36"/>
        <v>9.7000000000000417E-4</v>
      </c>
      <c r="D954">
        <v>2.1073</v>
      </c>
      <c r="E954" s="1">
        <f t="shared" si="37"/>
        <v>1.3645833333333306</v>
      </c>
      <c r="F954" s="3">
        <v>46175</v>
      </c>
    </row>
    <row r="955" spans="1:6" x14ac:dyDescent="0.3">
      <c r="A955" t="s">
        <v>128</v>
      </c>
      <c r="B955">
        <f t="shared" si="35"/>
        <v>140</v>
      </c>
      <c r="C955">
        <f t="shared" si="36"/>
        <v>8.0999999999999963E-4</v>
      </c>
      <c r="D955">
        <v>1.3411</v>
      </c>
      <c r="E955" s="1">
        <f t="shared" si="37"/>
        <v>1.3652777777777749</v>
      </c>
      <c r="F955" s="3">
        <v>46175</v>
      </c>
    </row>
    <row r="956" spans="1:6" x14ac:dyDescent="0.3">
      <c r="A956" s="6" t="s">
        <v>121</v>
      </c>
      <c r="B956" s="6">
        <f t="shared" si="35"/>
        <v>160</v>
      </c>
      <c r="C956" s="6">
        <f t="shared" si="36"/>
        <v>1.2050000000000006E-3</v>
      </c>
      <c r="D956" s="6">
        <v>1.6882999999999999</v>
      </c>
      <c r="E956" s="8">
        <f t="shared" si="37"/>
        <v>0.66319444444444386</v>
      </c>
      <c r="F956" s="11">
        <v>46175</v>
      </c>
    </row>
    <row r="957" spans="1:6" x14ac:dyDescent="0.3">
      <c r="A957" t="s">
        <v>122</v>
      </c>
      <c r="B957">
        <f t="shared" si="35"/>
        <v>160</v>
      </c>
      <c r="C957">
        <f t="shared" si="36"/>
        <v>1.5499999999999848E-3</v>
      </c>
      <c r="D957">
        <v>3.3658000000000001</v>
      </c>
      <c r="E957" s="1">
        <f t="shared" si="37"/>
        <v>1.3652777777777749</v>
      </c>
      <c r="F957" s="3">
        <v>46175</v>
      </c>
    </row>
    <row r="958" spans="1:6" x14ac:dyDescent="0.3">
      <c r="A958" t="s">
        <v>123</v>
      </c>
      <c r="B958">
        <f t="shared" ref="B958:B1009" si="38">B949+20</f>
        <v>160</v>
      </c>
      <c r="C958">
        <f t="shared" ref="C958:C1009" si="39">(D949-D958)/20</f>
        <v>1.1299999999999865E-3</v>
      </c>
      <c r="D958">
        <v>2.9430000000000001</v>
      </c>
      <c r="E958" s="1">
        <f t="shared" ref="E958:E1009" si="40">E949+20/1440</f>
        <v>1.3770833333333306</v>
      </c>
      <c r="F958" s="3">
        <v>46175</v>
      </c>
    </row>
    <row r="959" spans="1:6" x14ac:dyDescent="0.3">
      <c r="A959" t="s">
        <v>124</v>
      </c>
      <c r="B959">
        <f t="shared" si="38"/>
        <v>160</v>
      </c>
      <c r="C959">
        <f t="shared" si="39"/>
        <v>9.7999999999998089E-4</v>
      </c>
      <c r="D959">
        <v>3.4315000000000002</v>
      </c>
      <c r="E959" s="1">
        <f t="shared" si="40"/>
        <v>1.3777777777777749</v>
      </c>
      <c r="F959" s="3">
        <v>46175</v>
      </c>
    </row>
    <row r="960" spans="1:6" x14ac:dyDescent="0.3">
      <c r="A960" t="s">
        <v>125</v>
      </c>
      <c r="B960">
        <f t="shared" si="38"/>
        <v>160</v>
      </c>
      <c r="C960">
        <f t="shared" si="39"/>
        <v>7.7499999999999238E-4</v>
      </c>
      <c r="D960">
        <v>3.0097</v>
      </c>
      <c r="E960" s="1">
        <f t="shared" si="40"/>
        <v>1.3777777777777749</v>
      </c>
      <c r="F960" s="3">
        <v>46175</v>
      </c>
    </row>
    <row r="961" spans="1:6" x14ac:dyDescent="0.3">
      <c r="A961" t="s">
        <v>126</v>
      </c>
      <c r="B961">
        <f t="shared" si="38"/>
        <v>160</v>
      </c>
      <c r="C961">
        <f t="shared" si="39"/>
        <v>6.8999999999999064E-4</v>
      </c>
      <c r="D961">
        <v>2.1555</v>
      </c>
      <c r="E961" s="1">
        <f t="shared" si="40"/>
        <v>1.3784722222222194</v>
      </c>
      <c r="F961" s="3">
        <v>46175</v>
      </c>
    </row>
    <row r="962" spans="1:6" x14ac:dyDescent="0.3">
      <c r="A962" t="s">
        <v>98</v>
      </c>
      <c r="B962">
        <f t="shared" si="38"/>
        <v>160</v>
      </c>
      <c r="C962">
        <f t="shared" si="39"/>
        <v>9.1999999999999862E-4</v>
      </c>
      <c r="D962">
        <v>1.0971</v>
      </c>
      <c r="E962" s="1">
        <f t="shared" si="40"/>
        <v>1.3784722222222194</v>
      </c>
      <c r="F962" s="3">
        <v>46175</v>
      </c>
    </row>
    <row r="963" spans="1:6" x14ac:dyDescent="0.3">
      <c r="A963" t="s">
        <v>127</v>
      </c>
      <c r="B963">
        <f t="shared" si="38"/>
        <v>160</v>
      </c>
      <c r="C963">
        <f t="shared" si="39"/>
        <v>7.2499999999999789E-4</v>
      </c>
      <c r="D963">
        <v>2.0928</v>
      </c>
      <c r="E963" s="1">
        <f t="shared" si="40"/>
        <v>1.3784722222222194</v>
      </c>
      <c r="F963" s="3">
        <v>46175</v>
      </c>
    </row>
    <row r="964" spans="1:6" x14ac:dyDescent="0.3">
      <c r="A964" t="s">
        <v>128</v>
      </c>
      <c r="B964">
        <f t="shared" si="38"/>
        <v>160</v>
      </c>
      <c r="C964">
        <f t="shared" si="39"/>
        <v>7.8500000000000238E-4</v>
      </c>
      <c r="D964">
        <v>1.3253999999999999</v>
      </c>
      <c r="E964" s="1">
        <f t="shared" si="40"/>
        <v>1.3791666666666638</v>
      </c>
      <c r="F964" s="3">
        <v>46175</v>
      </c>
    </row>
    <row r="965" spans="1:6" x14ac:dyDescent="0.3">
      <c r="A965" s="6" t="s">
        <v>121</v>
      </c>
      <c r="B965">
        <f t="shared" si="38"/>
        <v>180</v>
      </c>
      <c r="C965">
        <f t="shared" si="39"/>
        <v>1.2349999999999972E-3</v>
      </c>
      <c r="D965">
        <v>1.6636</v>
      </c>
      <c r="E965" s="1">
        <f t="shared" si="40"/>
        <v>0.6770833333333327</v>
      </c>
      <c r="F965" s="3">
        <v>46175</v>
      </c>
    </row>
    <row r="966" spans="1:6" x14ac:dyDescent="0.3">
      <c r="A966" t="s">
        <v>122</v>
      </c>
      <c r="B966">
        <f t="shared" si="38"/>
        <v>180</v>
      </c>
      <c r="C966">
        <f t="shared" si="39"/>
        <v>1.495000000000002E-3</v>
      </c>
      <c r="D966">
        <v>3.3359000000000001</v>
      </c>
      <c r="E966" s="1">
        <f t="shared" si="40"/>
        <v>1.3791666666666638</v>
      </c>
      <c r="F966" s="3">
        <v>46175</v>
      </c>
    </row>
    <row r="967" spans="1:6" x14ac:dyDescent="0.3">
      <c r="A967" t="s">
        <v>123</v>
      </c>
      <c r="B967">
        <f t="shared" si="38"/>
        <v>180</v>
      </c>
      <c r="C967">
        <f t="shared" si="39"/>
        <v>9.80000000000003E-4</v>
      </c>
      <c r="D967">
        <v>2.9234</v>
      </c>
      <c r="E967" s="1">
        <f t="shared" si="40"/>
        <v>1.3909722222222194</v>
      </c>
      <c r="F967" s="3">
        <v>46175</v>
      </c>
    </row>
    <row r="968" spans="1:6" x14ac:dyDescent="0.3">
      <c r="A968" t="s">
        <v>124</v>
      </c>
      <c r="B968">
        <f t="shared" si="38"/>
        <v>180</v>
      </c>
      <c r="C968">
        <f t="shared" si="39"/>
        <v>1.055000000000006E-3</v>
      </c>
      <c r="D968">
        <v>3.4104000000000001</v>
      </c>
      <c r="E968" s="1">
        <f t="shared" si="40"/>
        <v>1.3916666666666637</v>
      </c>
      <c r="F968" s="3">
        <v>46175</v>
      </c>
    </row>
    <row r="969" spans="1:6" x14ac:dyDescent="0.3">
      <c r="A969" t="s">
        <v>125</v>
      </c>
      <c r="B969">
        <f t="shared" si="38"/>
        <v>180</v>
      </c>
      <c r="C969">
        <f t="shared" si="39"/>
        <v>7.6000000000000514E-4</v>
      </c>
      <c r="D969">
        <v>2.9944999999999999</v>
      </c>
      <c r="E969" s="1">
        <f t="shared" si="40"/>
        <v>1.3916666666666637</v>
      </c>
      <c r="F969" s="3">
        <v>46175</v>
      </c>
    </row>
    <row r="970" spans="1:6" x14ac:dyDescent="0.3">
      <c r="A970" t="s">
        <v>126</v>
      </c>
      <c r="B970">
        <f t="shared" si="38"/>
        <v>180</v>
      </c>
      <c r="C970">
        <f t="shared" si="39"/>
        <v>6.5999999999999392E-4</v>
      </c>
      <c r="D970">
        <v>2.1423000000000001</v>
      </c>
      <c r="E970" s="1">
        <f t="shared" si="40"/>
        <v>1.3923611111111083</v>
      </c>
      <c r="F970" s="3">
        <v>46175</v>
      </c>
    </row>
    <row r="971" spans="1:6" x14ac:dyDescent="0.3">
      <c r="A971" t="s">
        <v>98</v>
      </c>
      <c r="B971">
        <f t="shared" si="38"/>
        <v>180</v>
      </c>
      <c r="C971">
        <f t="shared" si="39"/>
        <v>9.1499999999999915E-4</v>
      </c>
      <c r="D971">
        <v>1.0788</v>
      </c>
      <c r="E971" s="1">
        <f t="shared" si="40"/>
        <v>1.3923611111111083</v>
      </c>
      <c r="F971" s="3">
        <v>46175</v>
      </c>
    </row>
    <row r="972" spans="1:6" x14ac:dyDescent="0.3">
      <c r="A972" t="s">
        <v>127</v>
      </c>
      <c r="B972">
        <f t="shared" si="38"/>
        <v>180</v>
      </c>
      <c r="C972">
        <f t="shared" si="39"/>
        <v>8.3500000000000794E-4</v>
      </c>
      <c r="D972">
        <v>2.0760999999999998</v>
      </c>
      <c r="E972" s="1">
        <f t="shared" si="40"/>
        <v>1.3923611111111083</v>
      </c>
      <c r="F972" s="3">
        <v>46175</v>
      </c>
    </row>
    <row r="973" spans="1:6" x14ac:dyDescent="0.3">
      <c r="A973" t="s">
        <v>128</v>
      </c>
      <c r="B973">
        <f t="shared" si="38"/>
        <v>180</v>
      </c>
      <c r="C973">
        <f t="shared" si="39"/>
        <v>8.649999999999936E-4</v>
      </c>
      <c r="D973">
        <v>1.3081</v>
      </c>
      <c r="E973" s="1">
        <f t="shared" si="40"/>
        <v>1.3930555555555526</v>
      </c>
      <c r="F973" s="3">
        <v>46175</v>
      </c>
    </row>
    <row r="974" spans="1:6" x14ac:dyDescent="0.3">
      <c r="A974" s="6" t="s">
        <v>121</v>
      </c>
      <c r="B974">
        <f t="shared" si="38"/>
        <v>200</v>
      </c>
      <c r="C974">
        <f t="shared" si="39"/>
        <v>1.2050000000000006E-3</v>
      </c>
      <c r="D974">
        <v>1.6395</v>
      </c>
      <c r="E974" s="1">
        <f t="shared" si="40"/>
        <v>0.69097222222222154</v>
      </c>
      <c r="F974" s="3">
        <v>46175</v>
      </c>
    </row>
    <row r="975" spans="1:6" x14ac:dyDescent="0.3">
      <c r="A975" t="s">
        <v>122</v>
      </c>
      <c r="B975">
        <f t="shared" si="38"/>
        <v>200</v>
      </c>
      <c r="C975">
        <f t="shared" si="39"/>
        <v>1.4699999999999934E-3</v>
      </c>
      <c r="D975">
        <v>3.3065000000000002</v>
      </c>
      <c r="E975" s="1">
        <f t="shared" si="40"/>
        <v>1.3930555555555526</v>
      </c>
      <c r="F975" s="3">
        <v>46175</v>
      </c>
    </row>
    <row r="976" spans="1:6" x14ac:dyDescent="0.3">
      <c r="A976" t="s">
        <v>123</v>
      </c>
      <c r="B976">
        <f t="shared" si="38"/>
        <v>200</v>
      </c>
      <c r="C976">
        <f t="shared" si="39"/>
        <v>1.0049999999999892E-3</v>
      </c>
      <c r="D976">
        <v>2.9033000000000002</v>
      </c>
      <c r="E976" s="1">
        <f t="shared" si="40"/>
        <v>1.4048611111111082</v>
      </c>
      <c r="F976" s="3">
        <v>46175</v>
      </c>
    </row>
    <row r="977" spans="1:6" x14ac:dyDescent="0.3">
      <c r="A977" t="s">
        <v>124</v>
      </c>
      <c r="B977">
        <f t="shared" si="38"/>
        <v>200</v>
      </c>
      <c r="C977">
        <f t="shared" si="39"/>
        <v>1.0150000000000103E-3</v>
      </c>
      <c r="D977">
        <v>3.3900999999999999</v>
      </c>
      <c r="E977" s="1">
        <f t="shared" si="40"/>
        <v>1.4055555555555526</v>
      </c>
      <c r="F977" s="3">
        <v>46175</v>
      </c>
    </row>
    <row r="978" spans="1:6" x14ac:dyDescent="0.3">
      <c r="A978" t="s">
        <v>125</v>
      </c>
      <c r="B978">
        <f t="shared" si="38"/>
        <v>200</v>
      </c>
      <c r="C978">
        <f t="shared" si="39"/>
        <v>7.7000000000000397E-4</v>
      </c>
      <c r="D978">
        <v>2.9790999999999999</v>
      </c>
      <c r="E978" s="1">
        <f t="shared" si="40"/>
        <v>1.4055555555555526</v>
      </c>
      <c r="F978" s="3">
        <v>46175</v>
      </c>
    </row>
    <row r="979" spans="1:6" x14ac:dyDescent="0.3">
      <c r="A979" t="s">
        <v>126</v>
      </c>
      <c r="B979">
        <f t="shared" si="38"/>
        <v>200</v>
      </c>
      <c r="C979">
        <f t="shared" si="39"/>
        <v>6.9500000000000117E-4</v>
      </c>
      <c r="D979">
        <v>2.1284000000000001</v>
      </c>
      <c r="E979" s="1">
        <f t="shared" si="40"/>
        <v>1.4062499999999971</v>
      </c>
      <c r="F979" s="3">
        <v>46175</v>
      </c>
    </row>
    <row r="980" spans="1:6" x14ac:dyDescent="0.3">
      <c r="A980" t="s">
        <v>98</v>
      </c>
      <c r="B980">
        <f t="shared" si="38"/>
        <v>200</v>
      </c>
      <c r="C980">
        <f t="shared" si="39"/>
        <v>9.4999999999999534E-4</v>
      </c>
      <c r="D980">
        <v>1.0598000000000001</v>
      </c>
      <c r="E980" s="1">
        <f t="shared" si="40"/>
        <v>1.4062499999999971</v>
      </c>
      <c r="F980" s="3">
        <v>46175</v>
      </c>
    </row>
    <row r="981" spans="1:6" x14ac:dyDescent="0.3">
      <c r="A981" t="s">
        <v>127</v>
      </c>
      <c r="B981">
        <f t="shared" si="38"/>
        <v>200</v>
      </c>
      <c r="C981">
        <f t="shared" si="39"/>
        <v>8.1499999999998793E-4</v>
      </c>
      <c r="D981">
        <v>2.0598000000000001</v>
      </c>
      <c r="E981" s="1">
        <f t="shared" si="40"/>
        <v>1.4062499999999971</v>
      </c>
      <c r="F981" s="3">
        <v>46175</v>
      </c>
    </row>
    <row r="982" spans="1:6" x14ac:dyDescent="0.3">
      <c r="A982" t="s">
        <v>128</v>
      </c>
      <c r="B982">
        <f t="shared" si="38"/>
        <v>200</v>
      </c>
      <c r="C982">
        <f t="shared" si="39"/>
        <v>8.4000000000000741E-4</v>
      </c>
      <c r="D982">
        <v>1.2912999999999999</v>
      </c>
      <c r="E982" s="1">
        <f t="shared" si="40"/>
        <v>1.4069444444444414</v>
      </c>
      <c r="F982" s="3">
        <v>46175</v>
      </c>
    </row>
    <row r="983" spans="1:6" x14ac:dyDescent="0.3">
      <c r="A983" s="6" t="s">
        <v>121</v>
      </c>
      <c r="B983">
        <f t="shared" si="38"/>
        <v>220</v>
      </c>
      <c r="C983">
        <f t="shared" si="39"/>
        <v>1.2050000000000006E-3</v>
      </c>
      <c r="D983">
        <v>1.6153999999999999</v>
      </c>
      <c r="E983" s="1">
        <f t="shared" si="40"/>
        <v>0.70486111111111038</v>
      </c>
      <c r="F983" s="3">
        <v>46175</v>
      </c>
    </row>
    <row r="984" spans="1:6" x14ac:dyDescent="0.3">
      <c r="A984" t="s">
        <v>122</v>
      </c>
      <c r="B984">
        <f t="shared" si="38"/>
        <v>220</v>
      </c>
      <c r="C984">
        <f t="shared" si="39"/>
        <v>1.4700000000000158E-3</v>
      </c>
      <c r="D984">
        <v>3.2770999999999999</v>
      </c>
      <c r="E984" s="1">
        <f t="shared" si="40"/>
        <v>1.4069444444444414</v>
      </c>
      <c r="F984" s="3">
        <v>46175</v>
      </c>
    </row>
    <row r="985" spans="1:6" x14ac:dyDescent="0.3">
      <c r="A985" t="s">
        <v>123</v>
      </c>
      <c r="B985">
        <f t="shared" si="38"/>
        <v>220</v>
      </c>
      <c r="C985">
        <f t="shared" si="39"/>
        <v>1.0099999999999998E-3</v>
      </c>
      <c r="D985">
        <v>2.8831000000000002</v>
      </c>
      <c r="E985" s="1">
        <f t="shared" si="40"/>
        <v>1.4187499999999971</v>
      </c>
      <c r="F985" s="3">
        <v>46175</v>
      </c>
    </row>
    <row r="986" spans="1:6" x14ac:dyDescent="0.3">
      <c r="A986" t="s">
        <v>124</v>
      </c>
      <c r="B986">
        <f t="shared" si="38"/>
        <v>220</v>
      </c>
      <c r="C986">
        <f t="shared" si="39"/>
        <v>1.0000000000000009E-3</v>
      </c>
      <c r="D986">
        <v>3.3700999999999999</v>
      </c>
      <c r="E986" s="1">
        <f t="shared" si="40"/>
        <v>1.4194444444444414</v>
      </c>
      <c r="F986" s="3">
        <v>46175</v>
      </c>
    </row>
    <row r="987" spans="1:6" x14ac:dyDescent="0.3">
      <c r="A987" t="s">
        <v>125</v>
      </c>
      <c r="B987">
        <f t="shared" si="38"/>
        <v>220</v>
      </c>
      <c r="C987">
        <f t="shared" si="39"/>
        <v>7.5499999999999461E-4</v>
      </c>
      <c r="D987">
        <v>2.964</v>
      </c>
      <c r="E987" s="1">
        <f t="shared" si="40"/>
        <v>1.4194444444444414</v>
      </c>
      <c r="F987" s="3">
        <v>46175</v>
      </c>
    </row>
    <row r="988" spans="1:6" x14ac:dyDescent="0.3">
      <c r="A988" t="s">
        <v>126</v>
      </c>
      <c r="B988">
        <f t="shared" si="38"/>
        <v>220</v>
      </c>
      <c r="C988">
        <f t="shared" si="39"/>
        <v>7.1000000000001064E-4</v>
      </c>
      <c r="D988">
        <v>2.1141999999999999</v>
      </c>
      <c r="E988" s="1">
        <f t="shared" si="40"/>
        <v>1.420138888888886</v>
      </c>
      <c r="F988" s="3">
        <v>46175</v>
      </c>
    </row>
    <row r="989" spans="1:6" x14ac:dyDescent="0.3">
      <c r="A989" t="s">
        <v>98</v>
      </c>
      <c r="B989">
        <f t="shared" si="38"/>
        <v>220</v>
      </c>
      <c r="C989">
        <f t="shared" si="39"/>
        <v>9.9500000000000153E-4</v>
      </c>
      <c r="D989">
        <v>1.0399</v>
      </c>
      <c r="E989" s="1">
        <f t="shared" si="40"/>
        <v>1.420138888888886</v>
      </c>
      <c r="F989" s="3">
        <v>46175</v>
      </c>
    </row>
    <row r="990" spans="1:6" x14ac:dyDescent="0.3">
      <c r="A990" t="s">
        <v>127</v>
      </c>
      <c r="B990">
        <f t="shared" si="38"/>
        <v>220</v>
      </c>
      <c r="C990">
        <f t="shared" si="39"/>
        <v>8.0000000000000069E-4</v>
      </c>
      <c r="D990">
        <v>2.0438000000000001</v>
      </c>
      <c r="E990" s="1">
        <f t="shared" si="40"/>
        <v>1.420138888888886</v>
      </c>
      <c r="F990" s="3">
        <v>46175</v>
      </c>
    </row>
    <row r="991" spans="1:6" x14ac:dyDescent="0.3">
      <c r="A991" t="s">
        <v>128</v>
      </c>
      <c r="B991">
        <f t="shared" si="38"/>
        <v>220</v>
      </c>
      <c r="C991">
        <f t="shared" si="39"/>
        <v>8.4499999999999571E-4</v>
      </c>
      <c r="D991">
        <v>1.2744</v>
      </c>
      <c r="E991" s="1">
        <f t="shared" si="40"/>
        <v>1.4208333333333303</v>
      </c>
      <c r="F991" s="3">
        <v>46175</v>
      </c>
    </row>
    <row r="992" spans="1:6" x14ac:dyDescent="0.3">
      <c r="A992" s="6" t="s">
        <v>121</v>
      </c>
      <c r="B992">
        <f t="shared" si="38"/>
        <v>240</v>
      </c>
      <c r="C992">
        <f t="shared" si="39"/>
        <v>1.2249999999999982E-3</v>
      </c>
      <c r="D992">
        <v>1.5909</v>
      </c>
      <c r="E992" s="1">
        <f t="shared" si="40"/>
        <v>0.71874999999999922</v>
      </c>
      <c r="F992" s="3">
        <v>46175</v>
      </c>
    </row>
    <row r="993" spans="1:6" x14ac:dyDescent="0.3">
      <c r="A993" t="s">
        <v>122</v>
      </c>
      <c r="B993">
        <f t="shared" si="38"/>
        <v>240</v>
      </c>
      <c r="C993">
        <f t="shared" si="39"/>
        <v>1.4750000000000041E-3</v>
      </c>
      <c r="D993">
        <v>3.2475999999999998</v>
      </c>
      <c r="E993" s="1">
        <f t="shared" si="40"/>
        <v>1.4208333333333303</v>
      </c>
      <c r="F993" s="3">
        <v>46175</v>
      </c>
    </row>
    <row r="994" spans="1:6" x14ac:dyDescent="0.3">
      <c r="A994" t="s">
        <v>123</v>
      </c>
      <c r="B994">
        <f t="shared" si="38"/>
        <v>240</v>
      </c>
      <c r="C994">
        <f t="shared" si="39"/>
        <v>9.4000000000000745E-4</v>
      </c>
      <c r="D994">
        <v>2.8643000000000001</v>
      </c>
      <c r="E994" s="1">
        <f t="shared" si="40"/>
        <v>1.4326388888888859</v>
      </c>
      <c r="F994" s="3">
        <v>46175</v>
      </c>
    </row>
    <row r="995" spans="1:6" x14ac:dyDescent="0.3">
      <c r="A995" t="s">
        <v>124</v>
      </c>
      <c r="B995">
        <f t="shared" si="38"/>
        <v>240</v>
      </c>
      <c r="C995">
        <f t="shared" si="39"/>
        <v>1.0399999999999964E-3</v>
      </c>
      <c r="D995">
        <v>3.3492999999999999</v>
      </c>
      <c r="E995" s="1">
        <f t="shared" si="40"/>
        <v>1.4333333333333302</v>
      </c>
      <c r="F995" s="3">
        <v>46175</v>
      </c>
    </row>
    <row r="996" spans="1:6" x14ac:dyDescent="0.3">
      <c r="A996" t="s">
        <v>125</v>
      </c>
      <c r="B996">
        <f t="shared" si="38"/>
        <v>240</v>
      </c>
      <c r="C996">
        <f t="shared" si="39"/>
        <v>6.750000000000034E-4</v>
      </c>
      <c r="D996">
        <v>2.9504999999999999</v>
      </c>
      <c r="E996" s="1">
        <f t="shared" si="40"/>
        <v>1.4333333333333302</v>
      </c>
      <c r="F996" s="3">
        <v>46175</v>
      </c>
    </row>
    <row r="997" spans="1:6" x14ac:dyDescent="0.3">
      <c r="A997" t="s">
        <v>126</v>
      </c>
      <c r="B997">
        <f t="shared" si="38"/>
        <v>240</v>
      </c>
      <c r="C997">
        <f t="shared" si="39"/>
        <v>6.2999999999999721E-4</v>
      </c>
      <c r="D997">
        <v>2.1015999999999999</v>
      </c>
      <c r="E997" s="1">
        <f t="shared" si="40"/>
        <v>1.4340277777777748</v>
      </c>
      <c r="F997" s="3">
        <v>46175</v>
      </c>
    </row>
    <row r="998" spans="1:6" x14ac:dyDescent="0.3">
      <c r="A998" t="s">
        <v>98</v>
      </c>
      <c r="B998">
        <f t="shared" si="38"/>
        <v>240</v>
      </c>
      <c r="C998">
        <f t="shared" si="39"/>
        <v>9.0000000000000084E-4</v>
      </c>
      <c r="D998">
        <v>1.0219</v>
      </c>
      <c r="E998" s="1">
        <f t="shared" si="40"/>
        <v>1.4340277777777748</v>
      </c>
      <c r="F998" s="3">
        <v>46175</v>
      </c>
    </row>
    <row r="999" spans="1:6" x14ac:dyDescent="0.3">
      <c r="A999" t="s">
        <v>127</v>
      </c>
      <c r="B999">
        <f t="shared" si="38"/>
        <v>240</v>
      </c>
      <c r="C999">
        <f t="shared" si="39"/>
        <v>7.2000000000000948E-4</v>
      </c>
      <c r="D999">
        <v>2.0293999999999999</v>
      </c>
      <c r="E999" s="1">
        <f t="shared" si="40"/>
        <v>1.4340277777777748</v>
      </c>
      <c r="F999" s="3">
        <v>46175</v>
      </c>
    </row>
    <row r="1000" spans="1:6" x14ac:dyDescent="0.3">
      <c r="A1000" t="s">
        <v>128</v>
      </c>
      <c r="B1000">
        <f t="shared" si="38"/>
        <v>240</v>
      </c>
      <c r="C1000">
        <f t="shared" si="39"/>
        <v>8.149999999999991E-4</v>
      </c>
      <c r="D1000">
        <v>1.2581</v>
      </c>
      <c r="E1000" s="1">
        <f t="shared" si="40"/>
        <v>1.4347222222222191</v>
      </c>
      <c r="F1000" s="3">
        <v>46175</v>
      </c>
    </row>
    <row r="1001" spans="1:6" x14ac:dyDescent="0.3">
      <c r="A1001" s="6" t="s">
        <v>121</v>
      </c>
      <c r="B1001">
        <f t="shared" si="38"/>
        <v>260</v>
      </c>
      <c r="C1001">
        <f t="shared" si="39"/>
        <v>1.1750000000000037E-3</v>
      </c>
      <c r="D1001">
        <v>1.5673999999999999</v>
      </c>
      <c r="E1001" s="1">
        <f t="shared" si="40"/>
        <v>0.73263888888888806</v>
      </c>
      <c r="F1001" s="3">
        <v>46175</v>
      </c>
    </row>
    <row r="1002" spans="1:6" x14ac:dyDescent="0.3">
      <c r="A1002" t="s">
        <v>122</v>
      </c>
      <c r="B1002">
        <f t="shared" si="38"/>
        <v>260</v>
      </c>
      <c r="C1002">
        <f t="shared" si="39"/>
        <v>1.4299999999999979E-3</v>
      </c>
      <c r="D1002">
        <v>3.2189999999999999</v>
      </c>
      <c r="E1002" s="1">
        <f t="shared" si="40"/>
        <v>1.4347222222222191</v>
      </c>
      <c r="F1002" s="3">
        <v>46175</v>
      </c>
    </row>
    <row r="1003" spans="1:6" x14ac:dyDescent="0.3">
      <c r="A1003" t="s">
        <v>123</v>
      </c>
      <c r="B1003">
        <f t="shared" si="38"/>
        <v>260</v>
      </c>
      <c r="C1003">
        <f t="shared" si="39"/>
        <v>9.8500000000001364E-4</v>
      </c>
      <c r="D1003">
        <v>2.8445999999999998</v>
      </c>
      <c r="E1003" s="1">
        <f t="shared" si="40"/>
        <v>1.4465277777777747</v>
      </c>
      <c r="F1003" s="3">
        <v>46175</v>
      </c>
    </row>
    <row r="1004" spans="1:6" x14ac:dyDescent="0.3">
      <c r="A1004" t="s">
        <v>124</v>
      </c>
      <c r="B1004">
        <f t="shared" si="38"/>
        <v>260</v>
      </c>
      <c r="C1004">
        <f t="shared" si="39"/>
        <v>9.7000000000000417E-4</v>
      </c>
      <c r="D1004">
        <v>3.3298999999999999</v>
      </c>
      <c r="E1004" s="1">
        <f t="shared" si="40"/>
        <v>1.4472222222222191</v>
      </c>
      <c r="F1004" s="3">
        <v>46175</v>
      </c>
    </row>
    <row r="1005" spans="1:6" x14ac:dyDescent="0.3">
      <c r="A1005" t="s">
        <v>125</v>
      </c>
      <c r="B1005">
        <f t="shared" si="38"/>
        <v>260</v>
      </c>
      <c r="C1005">
        <f t="shared" si="39"/>
        <v>6.3999999999999615E-4</v>
      </c>
      <c r="D1005">
        <v>2.9377</v>
      </c>
      <c r="E1005" s="1">
        <f t="shared" si="40"/>
        <v>1.4472222222222191</v>
      </c>
      <c r="F1005" s="3">
        <v>46175</v>
      </c>
    </row>
    <row r="1006" spans="1:6" x14ac:dyDescent="0.3">
      <c r="A1006" t="s">
        <v>126</v>
      </c>
      <c r="B1006">
        <f t="shared" si="38"/>
        <v>260</v>
      </c>
      <c r="C1006">
        <f t="shared" si="39"/>
        <v>6.2999999999999721E-4</v>
      </c>
      <c r="D1006">
        <v>2.089</v>
      </c>
      <c r="E1006" s="1">
        <f t="shared" si="40"/>
        <v>1.4479166666666636</v>
      </c>
      <c r="F1006" s="3">
        <v>46175</v>
      </c>
    </row>
    <row r="1007" spans="1:6" x14ac:dyDescent="0.3">
      <c r="A1007" t="s">
        <v>98</v>
      </c>
      <c r="B1007">
        <f t="shared" si="38"/>
        <v>260</v>
      </c>
      <c r="C1007">
        <f t="shared" si="39"/>
        <v>9.0000000000000084E-4</v>
      </c>
      <c r="D1007">
        <v>1.0039</v>
      </c>
      <c r="E1007" s="1">
        <f t="shared" si="40"/>
        <v>1.4479166666666636</v>
      </c>
      <c r="F1007" s="3">
        <v>46175</v>
      </c>
    </row>
    <row r="1008" spans="1:6" x14ac:dyDescent="0.3">
      <c r="A1008" t="s">
        <v>127</v>
      </c>
      <c r="B1008">
        <f t="shared" si="38"/>
        <v>260</v>
      </c>
      <c r="C1008">
        <f t="shared" si="39"/>
        <v>6.4999999999999498E-4</v>
      </c>
      <c r="D1008">
        <v>2.0164</v>
      </c>
      <c r="E1008" s="1">
        <f t="shared" si="40"/>
        <v>1.4479166666666636</v>
      </c>
      <c r="F1008" s="3">
        <v>46175</v>
      </c>
    </row>
    <row r="1009" spans="1:6" x14ac:dyDescent="0.3">
      <c r="A1009" t="s">
        <v>128</v>
      </c>
      <c r="B1009">
        <f t="shared" si="38"/>
        <v>260</v>
      </c>
      <c r="C1009">
        <f t="shared" si="39"/>
        <v>8.0999999999999963E-4</v>
      </c>
      <c r="D1009">
        <v>1.2419</v>
      </c>
      <c r="E1009" s="1">
        <f t="shared" si="40"/>
        <v>1.448611111111108</v>
      </c>
      <c r="F1009" s="3">
        <v>46175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1A314-91CE-4684-9C1B-1CF245F60102}">
  <dimension ref="A1:F93"/>
  <sheetViews>
    <sheetView workbookViewId="0">
      <selection activeCell="A9" sqref="A9:F92"/>
    </sheetView>
  </sheetViews>
  <sheetFormatPr baseColWidth="10" defaultRowHeight="14.4" x14ac:dyDescent="0.3"/>
  <cols>
    <col min="3" max="3" width="17.44140625" customWidth="1"/>
  </cols>
  <sheetData>
    <row r="1" spans="1:6" x14ac:dyDescent="0.3">
      <c r="A1" t="s">
        <v>24</v>
      </c>
      <c r="B1" t="s">
        <v>21</v>
      </c>
      <c r="C1" t="s">
        <v>22</v>
      </c>
      <c r="D1" t="s">
        <v>19</v>
      </c>
      <c r="E1" t="s">
        <v>8</v>
      </c>
      <c r="F1" t="s">
        <v>20</v>
      </c>
    </row>
    <row r="2" spans="1:6" x14ac:dyDescent="0.3">
      <c r="A2" t="s">
        <v>12</v>
      </c>
      <c r="B2" t="s">
        <v>11</v>
      </c>
      <c r="C2" s="4">
        <f t="shared" ref="C2:C8" si="0">D2</f>
        <v>2.8062</v>
      </c>
      <c r="D2">
        <v>2.8062</v>
      </c>
      <c r="E2" s="1">
        <v>0.31527777777777777</v>
      </c>
      <c r="F2" s="3">
        <v>46122</v>
      </c>
    </row>
    <row r="3" spans="1:6" x14ac:dyDescent="0.3">
      <c r="A3" t="s">
        <v>13</v>
      </c>
      <c r="B3" t="s">
        <v>11</v>
      </c>
      <c r="C3" s="4">
        <f t="shared" si="0"/>
        <v>4.7855999999999996</v>
      </c>
      <c r="D3">
        <v>4.7855999999999996</v>
      </c>
      <c r="E3" s="1">
        <v>0.31666666666666665</v>
      </c>
      <c r="F3" s="3">
        <v>46122</v>
      </c>
    </row>
    <row r="4" spans="1:6" x14ac:dyDescent="0.3">
      <c r="A4" t="s">
        <v>14</v>
      </c>
      <c r="B4" t="s">
        <v>11</v>
      </c>
      <c r="C4" s="4">
        <f t="shared" si="0"/>
        <v>3.2509000000000001</v>
      </c>
      <c r="D4">
        <v>3.2509000000000001</v>
      </c>
      <c r="E4" s="1">
        <v>0.31944444444444442</v>
      </c>
      <c r="F4" s="3">
        <v>46122</v>
      </c>
    </row>
    <row r="5" spans="1:6" x14ac:dyDescent="0.3">
      <c r="A5" t="s">
        <v>15</v>
      </c>
      <c r="B5" t="s">
        <v>11</v>
      </c>
      <c r="C5" s="4">
        <f t="shared" si="0"/>
        <v>2.6770999999999998</v>
      </c>
      <c r="D5">
        <v>2.6770999999999998</v>
      </c>
      <c r="E5" s="1">
        <v>0.32083333333333336</v>
      </c>
      <c r="F5" s="3">
        <v>46122</v>
      </c>
    </row>
    <row r="6" spans="1:6" x14ac:dyDescent="0.3">
      <c r="A6" t="s">
        <v>16</v>
      </c>
      <c r="B6" t="s">
        <v>11</v>
      </c>
      <c r="C6" s="4">
        <f t="shared" si="0"/>
        <v>2.4493999999999998</v>
      </c>
      <c r="D6">
        <v>2.4493999999999998</v>
      </c>
      <c r="E6" s="1">
        <v>0.32291666666666669</v>
      </c>
      <c r="F6" s="3">
        <v>46122</v>
      </c>
    </row>
    <row r="7" spans="1:6" x14ac:dyDescent="0.3">
      <c r="A7" t="s">
        <v>17</v>
      </c>
      <c r="B7" t="s">
        <v>11</v>
      </c>
      <c r="C7" s="4">
        <f t="shared" si="0"/>
        <v>3.6856</v>
      </c>
      <c r="D7">
        <v>3.6856</v>
      </c>
      <c r="E7" s="1">
        <v>0.32430555555555557</v>
      </c>
      <c r="F7" s="3">
        <v>46122</v>
      </c>
    </row>
    <row r="8" spans="1:6" x14ac:dyDescent="0.3">
      <c r="A8" t="s">
        <v>18</v>
      </c>
      <c r="B8" t="s">
        <v>11</v>
      </c>
      <c r="C8" s="4">
        <f t="shared" si="0"/>
        <v>3.0478999999999998</v>
      </c>
      <c r="D8">
        <v>3.0478999999999998</v>
      </c>
      <c r="E8" s="1">
        <v>0.32500000000000001</v>
      </c>
      <c r="F8" s="3">
        <v>46122</v>
      </c>
    </row>
    <row r="9" spans="1:6" x14ac:dyDescent="0.3">
      <c r="A9" t="s">
        <v>12</v>
      </c>
      <c r="B9">
        <v>0</v>
      </c>
      <c r="C9" s="4">
        <v>0</v>
      </c>
      <c r="D9">
        <v>2.7172000000000001</v>
      </c>
      <c r="E9" s="1">
        <f>E2+(20/1440)</f>
        <v>0.32916666666666666</v>
      </c>
      <c r="F9" s="3">
        <v>46122</v>
      </c>
    </row>
    <row r="10" spans="1:6" x14ac:dyDescent="0.3">
      <c r="A10" t="s">
        <v>13</v>
      </c>
      <c r="B10">
        <v>0</v>
      </c>
      <c r="C10" s="4">
        <v>0</v>
      </c>
      <c r="D10">
        <v>4.6805000000000003</v>
      </c>
      <c r="E10" s="1">
        <f>E3+(20/1440)</f>
        <v>0.33055555555555555</v>
      </c>
      <c r="F10" s="3">
        <v>46122</v>
      </c>
    </row>
    <row r="11" spans="1:6" x14ac:dyDescent="0.3">
      <c r="A11" t="s">
        <v>14</v>
      </c>
      <c r="B11">
        <v>0</v>
      </c>
      <c r="C11" s="4">
        <v>0</v>
      </c>
      <c r="D11">
        <v>3.1541999999999999</v>
      </c>
      <c r="E11" s="1">
        <v>0.33055555555555555</v>
      </c>
      <c r="F11" s="3">
        <v>46122</v>
      </c>
    </row>
    <row r="12" spans="1:6" x14ac:dyDescent="0.3">
      <c r="A12" t="s">
        <v>15</v>
      </c>
      <c r="B12">
        <v>0</v>
      </c>
      <c r="C12" s="4">
        <v>0</v>
      </c>
      <c r="D12">
        <v>2.6152000000000002</v>
      </c>
      <c r="E12" s="1">
        <f>E5+(20/1440)</f>
        <v>0.33472222222222225</v>
      </c>
      <c r="F12" s="3">
        <v>46122</v>
      </c>
    </row>
    <row r="13" spans="1:6" x14ac:dyDescent="0.3">
      <c r="A13" t="s">
        <v>16</v>
      </c>
      <c r="B13">
        <v>0</v>
      </c>
      <c r="C13" s="4">
        <v>0</v>
      </c>
      <c r="D13">
        <v>2.4081000000000001</v>
      </c>
      <c r="E13" s="1">
        <f>E6+(20/1440)</f>
        <v>0.33680555555555558</v>
      </c>
      <c r="F13" s="3">
        <v>46122</v>
      </c>
    </row>
    <row r="14" spans="1:6" x14ac:dyDescent="0.3">
      <c r="A14" t="s">
        <v>17</v>
      </c>
      <c r="B14">
        <v>0</v>
      </c>
      <c r="C14" s="5">
        <v>0</v>
      </c>
      <c r="D14">
        <v>3.62</v>
      </c>
      <c r="E14" s="1">
        <f>E7+(20/1440)</f>
        <v>0.33819444444444446</v>
      </c>
      <c r="F14" s="3">
        <v>46122</v>
      </c>
    </row>
    <row r="15" spans="1:6" x14ac:dyDescent="0.3">
      <c r="A15" t="s">
        <v>18</v>
      </c>
      <c r="B15">
        <v>0</v>
      </c>
      <c r="C15" s="4">
        <v>0</v>
      </c>
      <c r="D15">
        <v>2.9916</v>
      </c>
      <c r="E15" s="1">
        <f>E8+(20/1440)</f>
        <v>0.33888888888888891</v>
      </c>
      <c r="F15" s="3">
        <v>46122</v>
      </c>
    </row>
    <row r="16" spans="1:6" x14ac:dyDescent="0.3">
      <c r="A16" t="s">
        <v>12</v>
      </c>
      <c r="B16">
        <v>20</v>
      </c>
      <c r="C16" s="4">
        <f t="shared" ref="C16:C40" si="1">(D9-D16)/20</f>
        <v>2.3600000000000066E-3</v>
      </c>
      <c r="D16">
        <v>2.67</v>
      </c>
      <c r="E16" s="1">
        <f>E9+(20/1440)</f>
        <v>0.34305555555555556</v>
      </c>
      <c r="F16" s="3">
        <v>46122</v>
      </c>
    </row>
    <row r="17" spans="1:6" x14ac:dyDescent="0.3">
      <c r="A17" t="s">
        <v>13</v>
      </c>
      <c r="B17">
        <v>20</v>
      </c>
      <c r="C17" s="4">
        <f t="shared" si="1"/>
        <v>3.4450000000000093E-3</v>
      </c>
      <c r="D17">
        <v>4.6116000000000001</v>
      </c>
      <c r="E17" s="1">
        <f t="shared" ref="E17:E80" si="2">E10+(20/1440)</f>
        <v>0.34444444444444444</v>
      </c>
      <c r="F17" s="3">
        <v>46122</v>
      </c>
    </row>
    <row r="18" spans="1:6" x14ac:dyDescent="0.3">
      <c r="A18" t="s">
        <v>14</v>
      </c>
      <c r="B18">
        <v>20</v>
      </c>
      <c r="C18" s="4">
        <f t="shared" si="1"/>
        <v>3.3150000000000011E-3</v>
      </c>
      <c r="D18">
        <v>3.0878999999999999</v>
      </c>
      <c r="E18" s="1">
        <f t="shared" si="2"/>
        <v>0.34444444444444444</v>
      </c>
      <c r="F18" s="3">
        <v>46122</v>
      </c>
    </row>
    <row r="19" spans="1:6" x14ac:dyDescent="0.3">
      <c r="A19" t="s">
        <v>15</v>
      </c>
      <c r="B19">
        <v>20</v>
      </c>
      <c r="C19" s="4">
        <f t="shared" si="1"/>
        <v>1.0050000000000115E-3</v>
      </c>
      <c r="D19">
        <v>2.5951</v>
      </c>
      <c r="E19" s="1">
        <f t="shared" si="2"/>
        <v>0.34861111111111115</v>
      </c>
      <c r="F19" s="3">
        <v>46122</v>
      </c>
    </row>
    <row r="20" spans="1:6" x14ac:dyDescent="0.3">
      <c r="A20" t="s">
        <v>16</v>
      </c>
      <c r="B20">
        <v>20</v>
      </c>
      <c r="C20" s="4">
        <f t="shared" si="1"/>
        <v>1.0199999999999988E-3</v>
      </c>
      <c r="D20">
        <v>2.3877000000000002</v>
      </c>
      <c r="E20" s="1">
        <f t="shared" si="2"/>
        <v>0.35069444444444448</v>
      </c>
      <c r="F20" s="3">
        <v>46122</v>
      </c>
    </row>
    <row r="21" spans="1:6" x14ac:dyDescent="0.3">
      <c r="A21" t="s">
        <v>17</v>
      </c>
      <c r="B21">
        <v>20</v>
      </c>
      <c r="C21" s="5">
        <f t="shared" si="1"/>
        <v>1.705000000000001E-3</v>
      </c>
      <c r="D21">
        <v>3.5859000000000001</v>
      </c>
      <c r="E21" s="1">
        <f t="shared" si="2"/>
        <v>0.35208333333333336</v>
      </c>
      <c r="F21" s="3">
        <v>46122</v>
      </c>
    </row>
    <row r="22" spans="1:6" x14ac:dyDescent="0.3">
      <c r="A22" t="s">
        <v>18</v>
      </c>
      <c r="B22">
        <v>20</v>
      </c>
      <c r="C22" s="4">
        <f t="shared" si="1"/>
        <v>1.4350000000000085E-3</v>
      </c>
      <c r="D22">
        <v>2.9628999999999999</v>
      </c>
      <c r="E22" s="1">
        <f t="shared" si="2"/>
        <v>0.3527777777777778</v>
      </c>
      <c r="F22" s="3">
        <v>46122</v>
      </c>
    </row>
    <row r="23" spans="1:6" x14ac:dyDescent="0.3">
      <c r="A23" t="s">
        <v>12</v>
      </c>
      <c r="B23">
        <v>40</v>
      </c>
      <c r="C23" s="4">
        <f t="shared" si="1"/>
        <v>1.8550000000000066E-3</v>
      </c>
      <c r="D23">
        <v>2.6328999999999998</v>
      </c>
      <c r="E23" s="1">
        <f t="shared" si="2"/>
        <v>0.35694444444444445</v>
      </c>
      <c r="F23" s="3">
        <v>46122</v>
      </c>
    </row>
    <row r="24" spans="1:6" x14ac:dyDescent="0.3">
      <c r="A24" t="s">
        <v>13</v>
      </c>
      <c r="B24">
        <v>40</v>
      </c>
      <c r="C24" s="4">
        <f t="shared" si="1"/>
        <v>2.6600000000000178E-3</v>
      </c>
      <c r="D24">
        <v>4.5583999999999998</v>
      </c>
      <c r="E24" s="1">
        <f t="shared" si="2"/>
        <v>0.35833333333333334</v>
      </c>
      <c r="F24" s="3">
        <v>46122</v>
      </c>
    </row>
    <row r="25" spans="1:6" x14ac:dyDescent="0.3">
      <c r="A25" t="s">
        <v>14</v>
      </c>
      <c r="B25">
        <v>40</v>
      </c>
      <c r="C25" s="4">
        <f t="shared" si="1"/>
        <v>2.3949999999999918E-3</v>
      </c>
      <c r="D25">
        <v>3.04</v>
      </c>
      <c r="E25" s="1">
        <f t="shared" si="2"/>
        <v>0.35833333333333334</v>
      </c>
      <c r="F25" s="3">
        <v>46122</v>
      </c>
    </row>
    <row r="26" spans="1:6" x14ac:dyDescent="0.3">
      <c r="A26" t="s">
        <v>15</v>
      </c>
      <c r="B26">
        <v>40</v>
      </c>
      <c r="C26" s="4">
        <f t="shared" si="1"/>
        <v>9.6000000000000534E-4</v>
      </c>
      <c r="D26">
        <v>2.5758999999999999</v>
      </c>
      <c r="E26" s="1">
        <f t="shared" si="2"/>
        <v>0.36250000000000004</v>
      </c>
      <c r="F26" s="3">
        <v>46122</v>
      </c>
    </row>
    <row r="27" spans="1:6" x14ac:dyDescent="0.3">
      <c r="A27" t="s">
        <v>16</v>
      </c>
      <c r="B27">
        <v>40</v>
      </c>
      <c r="C27" s="4">
        <f t="shared" si="1"/>
        <v>1.1050000000000005E-3</v>
      </c>
      <c r="D27">
        <v>2.3656000000000001</v>
      </c>
      <c r="E27" s="1">
        <f t="shared" si="2"/>
        <v>0.36458333333333337</v>
      </c>
      <c r="F27" s="3">
        <v>46122</v>
      </c>
    </row>
    <row r="28" spans="1:6" x14ac:dyDescent="0.3">
      <c r="A28" t="s">
        <v>17</v>
      </c>
      <c r="B28">
        <v>40</v>
      </c>
      <c r="C28" s="5">
        <f t="shared" si="1"/>
        <v>1.7100000000000114E-3</v>
      </c>
      <c r="D28">
        <v>3.5516999999999999</v>
      </c>
      <c r="E28" s="1">
        <f t="shared" si="2"/>
        <v>0.36597222222222225</v>
      </c>
      <c r="F28" s="3">
        <v>46122</v>
      </c>
    </row>
    <row r="29" spans="1:6" x14ac:dyDescent="0.3">
      <c r="A29" t="s">
        <v>18</v>
      </c>
      <c r="B29">
        <v>40</v>
      </c>
      <c r="C29" s="4">
        <f t="shared" si="1"/>
        <v>1.2950000000000017E-3</v>
      </c>
      <c r="D29">
        <v>2.9369999999999998</v>
      </c>
      <c r="E29" s="1">
        <f t="shared" si="2"/>
        <v>0.3666666666666667</v>
      </c>
      <c r="F29" s="3">
        <v>46122</v>
      </c>
    </row>
    <row r="30" spans="1:6" x14ac:dyDescent="0.3">
      <c r="A30" t="s">
        <v>12</v>
      </c>
      <c r="B30">
        <v>60</v>
      </c>
      <c r="C30" s="4">
        <f t="shared" si="1"/>
        <v>2.0349999999999869E-3</v>
      </c>
      <c r="D30">
        <v>2.5922000000000001</v>
      </c>
      <c r="E30" s="1">
        <f t="shared" si="2"/>
        <v>0.37083333333333335</v>
      </c>
      <c r="F30" s="3">
        <v>46122</v>
      </c>
    </row>
    <row r="31" spans="1:6" x14ac:dyDescent="0.3">
      <c r="A31" t="s">
        <v>13</v>
      </c>
      <c r="B31">
        <v>60</v>
      </c>
      <c r="C31" s="4">
        <f t="shared" si="1"/>
        <v>2.8599999999999958E-3</v>
      </c>
      <c r="D31">
        <v>4.5011999999999999</v>
      </c>
      <c r="E31" s="1">
        <f t="shared" si="2"/>
        <v>0.37222222222222223</v>
      </c>
      <c r="F31" s="3">
        <v>46122</v>
      </c>
    </row>
    <row r="32" spans="1:6" x14ac:dyDescent="0.3">
      <c r="A32" t="s">
        <v>14</v>
      </c>
      <c r="B32">
        <v>60</v>
      </c>
      <c r="C32" s="4">
        <f t="shared" si="1"/>
        <v>2.3800000000000045E-3</v>
      </c>
      <c r="D32">
        <v>2.9923999999999999</v>
      </c>
      <c r="E32" s="1">
        <f t="shared" si="2"/>
        <v>0.37222222222222223</v>
      </c>
      <c r="F32" s="3">
        <v>46122</v>
      </c>
    </row>
    <row r="33" spans="1:6" x14ac:dyDescent="0.3">
      <c r="A33" t="s">
        <v>15</v>
      </c>
      <c r="B33">
        <v>60</v>
      </c>
      <c r="C33" s="4">
        <f t="shared" si="1"/>
        <v>9.4499999999999587E-4</v>
      </c>
      <c r="D33">
        <v>2.5569999999999999</v>
      </c>
      <c r="E33" s="1">
        <f t="shared" si="2"/>
        <v>0.37638888888888894</v>
      </c>
      <c r="F33" s="3">
        <v>46122</v>
      </c>
    </row>
    <row r="34" spans="1:6" x14ac:dyDescent="0.3">
      <c r="A34" t="s">
        <v>16</v>
      </c>
      <c r="B34">
        <v>60</v>
      </c>
      <c r="C34" s="4">
        <f t="shared" si="1"/>
        <v>8.7000000000001518E-4</v>
      </c>
      <c r="D34">
        <v>2.3481999999999998</v>
      </c>
      <c r="E34" s="1">
        <f t="shared" si="2"/>
        <v>0.37847222222222227</v>
      </c>
      <c r="F34" s="3">
        <v>46122</v>
      </c>
    </row>
    <row r="35" spans="1:6" x14ac:dyDescent="0.3">
      <c r="A35" t="s">
        <v>17</v>
      </c>
      <c r="B35">
        <v>60</v>
      </c>
      <c r="C35" s="5">
        <f t="shared" si="1"/>
        <v>1.5800000000000037E-3</v>
      </c>
      <c r="D35">
        <v>3.5200999999999998</v>
      </c>
      <c r="E35" s="1">
        <f t="shared" si="2"/>
        <v>0.37986111111111115</v>
      </c>
      <c r="F35" s="3">
        <v>46122</v>
      </c>
    </row>
    <row r="36" spans="1:6" x14ac:dyDescent="0.3">
      <c r="A36" t="s">
        <v>18</v>
      </c>
      <c r="B36">
        <v>60</v>
      </c>
      <c r="C36" s="4">
        <f t="shared" si="1"/>
        <v>1.0749999999999816E-3</v>
      </c>
      <c r="D36">
        <v>2.9155000000000002</v>
      </c>
      <c r="E36" s="1">
        <f t="shared" si="2"/>
        <v>0.38055555555555559</v>
      </c>
      <c r="F36" s="3">
        <v>46122</v>
      </c>
    </row>
    <row r="37" spans="1:6" x14ac:dyDescent="0.3">
      <c r="A37" t="s">
        <v>12</v>
      </c>
      <c r="B37">
        <v>80</v>
      </c>
      <c r="C37" s="4">
        <f t="shared" si="1"/>
        <v>1.8100000000000004E-3</v>
      </c>
      <c r="D37">
        <v>2.556</v>
      </c>
      <c r="E37" s="1">
        <f t="shared" si="2"/>
        <v>0.38472222222222224</v>
      </c>
      <c r="F37" s="3">
        <v>46122</v>
      </c>
    </row>
    <row r="38" spans="1:6" x14ac:dyDescent="0.3">
      <c r="A38" t="s">
        <v>13</v>
      </c>
      <c r="B38">
        <v>80</v>
      </c>
      <c r="C38" s="4">
        <f t="shared" si="1"/>
        <v>2.9599999999999848E-3</v>
      </c>
      <c r="D38">
        <v>4.4420000000000002</v>
      </c>
      <c r="E38" s="1">
        <f t="shared" si="2"/>
        <v>0.38611111111111113</v>
      </c>
      <c r="F38" s="3">
        <v>46122</v>
      </c>
    </row>
    <row r="39" spans="1:6" x14ac:dyDescent="0.3">
      <c r="A39" t="s">
        <v>14</v>
      </c>
      <c r="B39">
        <v>80</v>
      </c>
      <c r="C39" s="4">
        <f t="shared" si="1"/>
        <v>2.0799999999999929E-3</v>
      </c>
      <c r="D39">
        <v>2.9508000000000001</v>
      </c>
      <c r="E39" s="1">
        <f t="shared" si="2"/>
        <v>0.38611111111111113</v>
      </c>
      <c r="F39" s="3">
        <v>46122</v>
      </c>
    </row>
    <row r="40" spans="1:6" x14ac:dyDescent="0.3">
      <c r="A40" t="s">
        <v>15</v>
      </c>
      <c r="B40">
        <v>80</v>
      </c>
      <c r="C40" s="4">
        <f t="shared" si="1"/>
        <v>1.0299999999999975E-3</v>
      </c>
      <c r="D40">
        <v>2.5364</v>
      </c>
      <c r="E40" s="1">
        <f t="shared" si="2"/>
        <v>0.39027777777777783</v>
      </c>
      <c r="F40" s="3">
        <v>46122</v>
      </c>
    </row>
    <row r="41" spans="1:6" x14ac:dyDescent="0.3">
      <c r="A41" t="s">
        <v>16</v>
      </c>
      <c r="B41">
        <v>80</v>
      </c>
      <c r="C41" s="4">
        <f t="shared" ref="C41:C71" si="3">(D34-D41)/20</f>
        <v>9.9499999999999025E-4</v>
      </c>
      <c r="D41">
        <v>2.3283</v>
      </c>
      <c r="E41" s="1">
        <f t="shared" si="2"/>
        <v>0.39236111111111116</v>
      </c>
      <c r="F41" s="3">
        <v>46122</v>
      </c>
    </row>
    <row r="42" spans="1:6" x14ac:dyDescent="0.3">
      <c r="A42" t="s">
        <v>17</v>
      </c>
      <c r="B42">
        <v>80</v>
      </c>
      <c r="C42" s="5">
        <f t="shared" si="3"/>
        <v>1.5749999999999931E-3</v>
      </c>
      <c r="D42">
        <v>3.4885999999999999</v>
      </c>
      <c r="E42" s="1">
        <f t="shared" si="2"/>
        <v>0.39375000000000004</v>
      </c>
      <c r="F42" s="3">
        <v>46122</v>
      </c>
    </row>
    <row r="43" spans="1:6" x14ac:dyDescent="0.3">
      <c r="A43" t="s">
        <v>18</v>
      </c>
      <c r="B43">
        <v>80</v>
      </c>
      <c r="C43" s="4">
        <f t="shared" si="3"/>
        <v>1.0350000000000081E-3</v>
      </c>
      <c r="D43">
        <v>2.8948</v>
      </c>
      <c r="E43" s="1">
        <f t="shared" si="2"/>
        <v>0.39444444444444449</v>
      </c>
      <c r="F43" s="3">
        <v>46122</v>
      </c>
    </row>
    <row r="44" spans="1:6" x14ac:dyDescent="0.3">
      <c r="A44" t="s">
        <v>12</v>
      </c>
      <c r="B44">
        <v>100</v>
      </c>
      <c r="C44" s="4">
        <f t="shared" si="3"/>
        <v>1.7000000000000127E-3</v>
      </c>
      <c r="D44">
        <v>2.5219999999999998</v>
      </c>
      <c r="E44" s="1">
        <f t="shared" si="2"/>
        <v>0.39861111111111114</v>
      </c>
      <c r="F44" s="3">
        <v>46122</v>
      </c>
    </row>
    <row r="45" spans="1:6" x14ac:dyDescent="0.3">
      <c r="A45" t="s">
        <v>13</v>
      </c>
      <c r="B45">
        <v>100</v>
      </c>
      <c r="C45" s="4">
        <f t="shared" si="3"/>
        <v>3.8300000000000001E-3</v>
      </c>
      <c r="D45">
        <v>4.3654000000000002</v>
      </c>
      <c r="E45" s="1">
        <f t="shared" si="2"/>
        <v>0.4</v>
      </c>
      <c r="F45" s="3">
        <v>46122</v>
      </c>
    </row>
    <row r="46" spans="1:6" x14ac:dyDescent="0.3">
      <c r="A46" t="s">
        <v>14</v>
      </c>
      <c r="B46">
        <v>100</v>
      </c>
      <c r="C46" s="4">
        <f t="shared" si="3"/>
        <v>2.134999999999998E-3</v>
      </c>
      <c r="D46">
        <v>2.9081000000000001</v>
      </c>
      <c r="E46" s="1">
        <f t="shared" si="2"/>
        <v>0.4</v>
      </c>
      <c r="F46" s="3">
        <v>46122</v>
      </c>
    </row>
    <row r="47" spans="1:6" x14ac:dyDescent="0.3">
      <c r="A47" t="s">
        <v>15</v>
      </c>
      <c r="B47">
        <v>100</v>
      </c>
      <c r="C47" s="4">
        <f t="shared" si="3"/>
        <v>8.4500000000000688E-4</v>
      </c>
      <c r="D47">
        <v>2.5194999999999999</v>
      </c>
      <c r="E47" s="1">
        <f t="shared" si="2"/>
        <v>0.40416666666666673</v>
      </c>
      <c r="F47" s="3">
        <v>46122</v>
      </c>
    </row>
    <row r="48" spans="1:6" x14ac:dyDescent="0.3">
      <c r="A48" t="s">
        <v>16</v>
      </c>
      <c r="B48">
        <v>100</v>
      </c>
      <c r="C48" s="4">
        <f t="shared" si="3"/>
        <v>8.8999999999999084E-4</v>
      </c>
      <c r="D48">
        <v>2.3105000000000002</v>
      </c>
      <c r="E48" s="1">
        <f t="shared" si="2"/>
        <v>0.40625000000000006</v>
      </c>
      <c r="F48" s="3">
        <v>46122</v>
      </c>
    </row>
    <row r="49" spans="1:6" x14ac:dyDescent="0.3">
      <c r="A49" t="s">
        <v>17</v>
      </c>
      <c r="B49">
        <v>100</v>
      </c>
      <c r="C49" s="5">
        <f t="shared" si="3"/>
        <v>1.6349999999999865E-3</v>
      </c>
      <c r="D49">
        <v>3.4559000000000002</v>
      </c>
      <c r="E49" s="1">
        <f t="shared" si="2"/>
        <v>0.40763888888888894</v>
      </c>
      <c r="F49" s="3">
        <v>46122</v>
      </c>
    </row>
    <row r="50" spans="1:6" x14ac:dyDescent="0.3">
      <c r="A50" t="s">
        <v>18</v>
      </c>
      <c r="B50">
        <v>100</v>
      </c>
      <c r="C50" s="4">
        <f t="shared" si="3"/>
        <v>9.1000000000001084E-4</v>
      </c>
      <c r="D50">
        <v>2.8765999999999998</v>
      </c>
      <c r="E50" s="1">
        <f t="shared" si="2"/>
        <v>0.40833333333333338</v>
      </c>
      <c r="F50" s="3">
        <v>46122</v>
      </c>
    </row>
    <row r="51" spans="1:6" x14ac:dyDescent="0.3">
      <c r="A51" t="s">
        <v>12</v>
      </c>
      <c r="B51">
        <v>120</v>
      </c>
      <c r="C51" s="4">
        <f t="shared" si="3"/>
        <v>1.6999999999999904E-3</v>
      </c>
      <c r="D51">
        <v>2.488</v>
      </c>
      <c r="E51" s="1">
        <f t="shared" si="2"/>
        <v>0.41250000000000003</v>
      </c>
      <c r="F51" s="3">
        <v>46122</v>
      </c>
    </row>
    <row r="52" spans="1:6" x14ac:dyDescent="0.3">
      <c r="A52" t="s">
        <v>13</v>
      </c>
      <c r="B52">
        <v>120</v>
      </c>
      <c r="C52" s="4">
        <f t="shared" si="3"/>
        <v>2.9850000000000154E-3</v>
      </c>
      <c r="D52">
        <v>4.3056999999999999</v>
      </c>
      <c r="E52" s="1">
        <f t="shared" si="2"/>
        <v>0.41388888888888892</v>
      </c>
      <c r="F52" s="3">
        <v>46122</v>
      </c>
    </row>
    <row r="53" spans="1:6" x14ac:dyDescent="0.3">
      <c r="A53" t="s">
        <v>14</v>
      </c>
      <c r="B53">
        <v>120</v>
      </c>
      <c r="C53" s="4">
        <f t="shared" si="3"/>
        <v>2.0100000000000005E-3</v>
      </c>
      <c r="D53">
        <v>2.8679000000000001</v>
      </c>
      <c r="E53" s="1">
        <f t="shared" si="2"/>
        <v>0.41388888888888892</v>
      </c>
      <c r="F53" s="3">
        <v>46122</v>
      </c>
    </row>
    <row r="54" spans="1:6" x14ac:dyDescent="0.3">
      <c r="A54" t="s">
        <v>15</v>
      </c>
      <c r="B54">
        <v>120</v>
      </c>
      <c r="C54" s="4">
        <f t="shared" si="3"/>
        <v>8.9500000000000137E-4</v>
      </c>
      <c r="D54">
        <v>2.5015999999999998</v>
      </c>
      <c r="E54" s="1">
        <f t="shared" si="2"/>
        <v>0.41805555555555562</v>
      </c>
      <c r="F54" s="3">
        <v>46122</v>
      </c>
    </row>
    <row r="55" spans="1:6" x14ac:dyDescent="0.3">
      <c r="A55" t="s">
        <v>16</v>
      </c>
      <c r="B55">
        <v>120</v>
      </c>
      <c r="C55" s="4">
        <f t="shared" si="3"/>
        <v>9.3000000000000862E-4</v>
      </c>
      <c r="D55">
        <v>2.2919</v>
      </c>
      <c r="E55" s="1">
        <f t="shared" si="2"/>
        <v>0.42013888888888895</v>
      </c>
      <c r="F55" s="3">
        <v>46122</v>
      </c>
    </row>
    <row r="56" spans="1:6" x14ac:dyDescent="0.3">
      <c r="A56" t="s">
        <v>17</v>
      </c>
      <c r="B56">
        <v>120</v>
      </c>
      <c r="C56" s="5">
        <f t="shared" si="3"/>
        <v>1.5700000000000048E-3</v>
      </c>
      <c r="D56">
        <v>3.4245000000000001</v>
      </c>
      <c r="E56" s="1">
        <f t="shared" si="2"/>
        <v>0.42152777777777783</v>
      </c>
      <c r="F56" s="3">
        <v>46122</v>
      </c>
    </row>
    <row r="57" spans="1:6" x14ac:dyDescent="0.3">
      <c r="A57" t="s">
        <v>18</v>
      </c>
      <c r="B57">
        <v>120</v>
      </c>
      <c r="C57" s="4">
        <f t="shared" si="3"/>
        <v>9.1999999999998745E-4</v>
      </c>
      <c r="D57">
        <v>2.8582000000000001</v>
      </c>
      <c r="E57" s="1">
        <f t="shared" si="2"/>
        <v>0.42222222222222228</v>
      </c>
      <c r="F57" s="3">
        <v>46122</v>
      </c>
    </row>
    <row r="58" spans="1:6" x14ac:dyDescent="0.3">
      <c r="A58" t="s">
        <v>12</v>
      </c>
      <c r="B58">
        <v>140</v>
      </c>
      <c r="C58" s="4">
        <f t="shared" si="3"/>
        <v>1.6049999999999897E-3</v>
      </c>
      <c r="D58">
        <v>2.4559000000000002</v>
      </c>
      <c r="E58" s="1">
        <f t="shared" si="2"/>
        <v>0.42638888888888893</v>
      </c>
      <c r="F58" s="3">
        <v>46122</v>
      </c>
    </row>
    <row r="59" spans="1:6" x14ac:dyDescent="0.3">
      <c r="A59" t="s">
        <v>13</v>
      </c>
      <c r="B59">
        <v>140</v>
      </c>
      <c r="C59" s="4">
        <f t="shared" si="3"/>
        <v>2.6549999999999851E-3</v>
      </c>
      <c r="D59">
        <v>4.2526000000000002</v>
      </c>
      <c r="E59" s="1">
        <f t="shared" si="2"/>
        <v>0.42777777777777781</v>
      </c>
      <c r="F59" s="3">
        <v>46122</v>
      </c>
    </row>
    <row r="60" spans="1:6" x14ac:dyDescent="0.3">
      <c r="A60" t="s">
        <v>14</v>
      </c>
      <c r="B60">
        <v>140</v>
      </c>
      <c r="C60" s="4">
        <f t="shared" si="3"/>
        <v>4.0000000000000034E-4</v>
      </c>
      <c r="D60">
        <v>2.8599000000000001</v>
      </c>
      <c r="E60" s="1">
        <f t="shared" si="2"/>
        <v>0.42777777777777781</v>
      </c>
      <c r="F60" s="3">
        <v>46122</v>
      </c>
    </row>
    <row r="61" spans="1:6" x14ac:dyDescent="0.3">
      <c r="A61" t="s">
        <v>15</v>
      </c>
      <c r="B61">
        <v>140</v>
      </c>
      <c r="C61" s="4">
        <f t="shared" si="3"/>
        <v>8.8999999999999084E-4</v>
      </c>
      <c r="D61">
        <v>2.4838</v>
      </c>
      <c r="E61" s="1">
        <f t="shared" si="2"/>
        <v>0.43194444444444452</v>
      </c>
      <c r="F61" s="3">
        <v>46122</v>
      </c>
    </row>
    <row r="62" spans="1:6" x14ac:dyDescent="0.3">
      <c r="A62" t="s">
        <v>16</v>
      </c>
      <c r="B62">
        <v>140</v>
      </c>
      <c r="C62" s="4">
        <f t="shared" si="3"/>
        <v>8.2999999999999741E-4</v>
      </c>
      <c r="D62">
        <v>2.2753000000000001</v>
      </c>
      <c r="E62" s="1">
        <f t="shared" si="2"/>
        <v>0.43402777777777785</v>
      </c>
      <c r="F62" s="3">
        <v>46122</v>
      </c>
    </row>
    <row r="63" spans="1:6" x14ac:dyDescent="0.3">
      <c r="A63" t="s">
        <v>17</v>
      </c>
      <c r="B63">
        <v>140</v>
      </c>
      <c r="C63" s="5">
        <f t="shared" si="3"/>
        <v>1.6450000000000076E-3</v>
      </c>
      <c r="D63">
        <v>3.3915999999999999</v>
      </c>
      <c r="E63" s="1">
        <f t="shared" si="2"/>
        <v>0.43541666666666673</v>
      </c>
      <c r="F63" s="3">
        <v>46122</v>
      </c>
    </row>
    <row r="64" spans="1:6" x14ac:dyDescent="0.3">
      <c r="A64" t="s">
        <v>18</v>
      </c>
      <c r="B64">
        <v>140</v>
      </c>
      <c r="C64" s="4">
        <f t="shared" si="3"/>
        <v>8.750000000000036E-4</v>
      </c>
      <c r="D64">
        <v>2.8407</v>
      </c>
      <c r="E64" s="1">
        <f t="shared" si="2"/>
        <v>0.43611111111111117</v>
      </c>
      <c r="F64" s="3">
        <v>46122</v>
      </c>
    </row>
    <row r="65" spans="1:6" x14ac:dyDescent="0.3">
      <c r="A65" t="s">
        <v>12</v>
      </c>
      <c r="B65">
        <v>160</v>
      </c>
      <c r="C65" s="4">
        <f t="shared" si="3"/>
        <v>1.4050000000000117E-3</v>
      </c>
      <c r="D65">
        <v>2.4278</v>
      </c>
      <c r="E65" s="1">
        <f t="shared" si="2"/>
        <v>0.44027777777777782</v>
      </c>
      <c r="F65" s="3">
        <v>46122</v>
      </c>
    </row>
    <row r="66" spans="1:6" x14ac:dyDescent="0.3">
      <c r="A66" t="s">
        <v>13</v>
      </c>
      <c r="B66">
        <v>160</v>
      </c>
      <c r="C66" s="4">
        <f t="shared" si="3"/>
        <v>2.2499999999999964E-3</v>
      </c>
      <c r="D66">
        <v>4.2076000000000002</v>
      </c>
      <c r="E66" s="1">
        <f t="shared" si="2"/>
        <v>0.44166666666666671</v>
      </c>
      <c r="F66" s="3">
        <v>46122</v>
      </c>
    </row>
    <row r="67" spans="1:6" x14ac:dyDescent="0.3">
      <c r="A67" t="s">
        <v>14</v>
      </c>
      <c r="B67">
        <v>160</v>
      </c>
      <c r="C67" s="4">
        <f t="shared" si="3"/>
        <v>3.1800000000000049E-3</v>
      </c>
      <c r="D67">
        <v>2.7963</v>
      </c>
      <c r="E67" s="1">
        <f t="shared" si="2"/>
        <v>0.44166666666666671</v>
      </c>
      <c r="F67" s="3">
        <v>46122</v>
      </c>
    </row>
    <row r="68" spans="1:6" x14ac:dyDescent="0.3">
      <c r="A68" t="s">
        <v>15</v>
      </c>
      <c r="B68">
        <v>160</v>
      </c>
      <c r="C68" s="4">
        <f t="shared" si="3"/>
        <v>9.7000000000000417E-4</v>
      </c>
      <c r="D68">
        <v>2.4643999999999999</v>
      </c>
      <c r="E68" s="1">
        <f t="shared" si="2"/>
        <v>0.44583333333333341</v>
      </c>
      <c r="F68" s="3">
        <v>46122</v>
      </c>
    </row>
    <row r="69" spans="1:6" x14ac:dyDescent="0.3">
      <c r="A69" t="s">
        <v>16</v>
      </c>
      <c r="B69">
        <v>160</v>
      </c>
      <c r="C69" s="4">
        <f t="shared" si="3"/>
        <v>9.2000000000000968E-4</v>
      </c>
      <c r="D69">
        <v>2.2568999999999999</v>
      </c>
      <c r="E69" s="1">
        <f t="shared" si="2"/>
        <v>0.44791666666666674</v>
      </c>
      <c r="F69" s="3">
        <v>46122</v>
      </c>
    </row>
    <row r="70" spans="1:6" x14ac:dyDescent="0.3">
      <c r="A70" t="s">
        <v>17</v>
      </c>
      <c r="B70">
        <v>160</v>
      </c>
      <c r="C70" s="5">
        <f t="shared" si="3"/>
        <v>1.495000000000002E-3</v>
      </c>
      <c r="D70">
        <v>3.3616999999999999</v>
      </c>
      <c r="E70" s="1">
        <f t="shared" si="2"/>
        <v>0.44930555555555562</v>
      </c>
      <c r="F70" s="3">
        <v>46122</v>
      </c>
    </row>
    <row r="71" spans="1:6" x14ac:dyDescent="0.3">
      <c r="A71" t="s">
        <v>18</v>
      </c>
      <c r="B71">
        <v>160</v>
      </c>
      <c r="C71" s="4">
        <f t="shared" si="3"/>
        <v>8.5999999999999412E-4</v>
      </c>
      <c r="D71">
        <v>2.8235000000000001</v>
      </c>
      <c r="E71" s="1">
        <f t="shared" si="2"/>
        <v>0.45000000000000007</v>
      </c>
      <c r="F71" s="3">
        <v>46122</v>
      </c>
    </row>
    <row r="72" spans="1:6" x14ac:dyDescent="0.3">
      <c r="A72" t="s">
        <v>12</v>
      </c>
      <c r="B72">
        <v>180</v>
      </c>
      <c r="C72" s="4">
        <f t="shared" ref="C72:C92" si="4">(D65-D72)/20</f>
        <v>1.6149999999999886E-3</v>
      </c>
      <c r="D72">
        <v>2.3955000000000002</v>
      </c>
      <c r="E72" s="1">
        <f t="shared" si="2"/>
        <v>0.45416666666666672</v>
      </c>
      <c r="F72" s="3">
        <v>46122</v>
      </c>
    </row>
    <row r="73" spans="1:6" x14ac:dyDescent="0.3">
      <c r="A73" t="s">
        <v>13</v>
      </c>
      <c r="B73">
        <v>180</v>
      </c>
      <c r="C73" s="4">
        <f t="shared" si="4"/>
        <v>2.5050000000000237E-3</v>
      </c>
      <c r="D73">
        <v>4.1574999999999998</v>
      </c>
      <c r="E73" s="1">
        <f t="shared" si="2"/>
        <v>0.4555555555555556</v>
      </c>
      <c r="F73" s="3">
        <v>46122</v>
      </c>
    </row>
    <row r="74" spans="1:6" x14ac:dyDescent="0.3">
      <c r="A74" t="s">
        <v>14</v>
      </c>
      <c r="B74">
        <v>180</v>
      </c>
      <c r="C74" s="4">
        <f t="shared" si="4"/>
        <v>1.8000000000000017E-3</v>
      </c>
      <c r="D74">
        <v>2.7603</v>
      </c>
      <c r="E74" s="1">
        <f t="shared" si="2"/>
        <v>0.4555555555555556</v>
      </c>
      <c r="F74" s="3">
        <v>46122</v>
      </c>
    </row>
    <row r="75" spans="1:6" x14ac:dyDescent="0.3">
      <c r="A75" t="s">
        <v>15</v>
      </c>
      <c r="B75">
        <v>180</v>
      </c>
      <c r="C75" s="4">
        <f t="shared" si="4"/>
        <v>8.4500000000000688E-4</v>
      </c>
      <c r="D75">
        <v>2.4474999999999998</v>
      </c>
      <c r="E75" s="1">
        <f t="shared" si="2"/>
        <v>0.45972222222222231</v>
      </c>
      <c r="F75" s="3">
        <v>46122</v>
      </c>
    </row>
    <row r="76" spans="1:6" x14ac:dyDescent="0.3">
      <c r="A76" t="s">
        <v>16</v>
      </c>
      <c r="B76">
        <v>180</v>
      </c>
      <c r="C76" s="4">
        <f t="shared" si="4"/>
        <v>8.1999999999999846E-4</v>
      </c>
      <c r="D76">
        <v>2.2404999999999999</v>
      </c>
      <c r="E76" s="1">
        <f t="shared" si="2"/>
        <v>0.46180555555555564</v>
      </c>
      <c r="F76" s="3">
        <v>46122</v>
      </c>
    </row>
    <row r="77" spans="1:6" x14ac:dyDescent="0.3">
      <c r="A77" t="s">
        <v>17</v>
      </c>
      <c r="B77">
        <v>180</v>
      </c>
      <c r="C77" s="5">
        <f t="shared" si="4"/>
        <v>1.7249999999999987E-3</v>
      </c>
      <c r="D77">
        <v>3.3271999999999999</v>
      </c>
      <c r="E77" s="1">
        <f t="shared" si="2"/>
        <v>0.46319444444444452</v>
      </c>
      <c r="F77" s="3">
        <v>46122</v>
      </c>
    </row>
    <row r="78" spans="1:6" x14ac:dyDescent="0.3">
      <c r="A78" t="s">
        <v>18</v>
      </c>
      <c r="B78">
        <v>180</v>
      </c>
      <c r="C78" s="4">
        <f t="shared" si="4"/>
        <v>9.6500000000001587E-4</v>
      </c>
      <c r="D78">
        <v>2.8041999999999998</v>
      </c>
      <c r="E78" s="1">
        <f t="shared" si="2"/>
        <v>0.46388888888888896</v>
      </c>
      <c r="F78" s="3">
        <v>46122</v>
      </c>
    </row>
    <row r="79" spans="1:6" x14ac:dyDescent="0.3">
      <c r="A79" t="s">
        <v>12</v>
      </c>
      <c r="B79">
        <v>200</v>
      </c>
      <c r="C79" s="4">
        <f t="shared" si="4"/>
        <v>1.7249999999999987E-3</v>
      </c>
      <c r="D79">
        <v>2.3610000000000002</v>
      </c>
      <c r="E79" s="1">
        <f t="shared" si="2"/>
        <v>0.46805555555555561</v>
      </c>
      <c r="F79" s="3">
        <v>46122</v>
      </c>
    </row>
    <row r="80" spans="1:6" x14ac:dyDescent="0.3">
      <c r="A80" t="s">
        <v>13</v>
      </c>
      <c r="B80">
        <v>200</v>
      </c>
      <c r="C80" s="5">
        <f t="shared" si="4"/>
        <v>2.4649999999999837E-3</v>
      </c>
      <c r="D80">
        <v>4.1082000000000001</v>
      </c>
      <c r="E80" s="1">
        <f t="shared" si="2"/>
        <v>0.4694444444444445</v>
      </c>
      <c r="F80" s="3">
        <v>46122</v>
      </c>
    </row>
    <row r="81" spans="1:6" x14ac:dyDescent="0.3">
      <c r="A81" t="s">
        <v>14</v>
      </c>
      <c r="B81">
        <v>200</v>
      </c>
      <c r="C81" s="4">
        <f t="shared" si="4"/>
        <v>1.9649999999999945E-3</v>
      </c>
      <c r="D81">
        <v>2.7210000000000001</v>
      </c>
      <c r="E81" s="1">
        <f t="shared" ref="E81:E93" si="5">E74+(20/1440)</f>
        <v>0.4694444444444445</v>
      </c>
      <c r="F81" s="3">
        <v>46122</v>
      </c>
    </row>
    <row r="82" spans="1:6" x14ac:dyDescent="0.3">
      <c r="A82" t="s">
        <v>15</v>
      </c>
      <c r="B82">
        <v>200</v>
      </c>
      <c r="C82" s="4">
        <f t="shared" si="4"/>
        <v>9.2999999999998639E-4</v>
      </c>
      <c r="D82">
        <v>2.4289000000000001</v>
      </c>
      <c r="E82" s="1">
        <f t="shared" si="5"/>
        <v>0.4736111111111112</v>
      </c>
      <c r="F82" s="3">
        <v>46122</v>
      </c>
    </row>
    <row r="83" spans="1:6" x14ac:dyDescent="0.3">
      <c r="A83" t="s">
        <v>16</v>
      </c>
      <c r="B83">
        <v>200</v>
      </c>
      <c r="C83" s="4">
        <f t="shared" si="4"/>
        <v>8.4500000000000688E-4</v>
      </c>
      <c r="D83">
        <v>2.2235999999999998</v>
      </c>
      <c r="E83" s="1">
        <f t="shared" si="5"/>
        <v>0.47569444444444453</v>
      </c>
      <c r="F83" s="3">
        <v>46122</v>
      </c>
    </row>
    <row r="84" spans="1:6" x14ac:dyDescent="0.3">
      <c r="A84" t="s">
        <v>17</v>
      </c>
      <c r="B84">
        <v>200</v>
      </c>
      <c r="C84" s="5">
        <f t="shared" si="4"/>
        <v>1.5700000000000048E-3</v>
      </c>
      <c r="D84">
        <v>3.2957999999999998</v>
      </c>
      <c r="E84" s="1">
        <f t="shared" si="5"/>
        <v>0.47708333333333341</v>
      </c>
      <c r="F84" s="3">
        <v>46122</v>
      </c>
    </row>
    <row r="85" spans="1:6" x14ac:dyDescent="0.3">
      <c r="A85" t="s">
        <v>18</v>
      </c>
      <c r="B85">
        <v>200</v>
      </c>
      <c r="C85" s="4">
        <f t="shared" si="4"/>
        <v>8.5999999999999412E-4</v>
      </c>
      <c r="D85">
        <v>2.7869999999999999</v>
      </c>
      <c r="E85" s="1">
        <f t="shared" si="5"/>
        <v>0.47777777777777786</v>
      </c>
      <c r="F85" s="3">
        <v>46122</v>
      </c>
    </row>
    <row r="86" spans="1:6" x14ac:dyDescent="0.3">
      <c r="A86" t="s">
        <v>12</v>
      </c>
      <c r="B86">
        <v>220</v>
      </c>
      <c r="C86" s="4">
        <f t="shared" si="4"/>
        <v>1.6500000000000182E-3</v>
      </c>
      <c r="D86">
        <v>2.3279999999999998</v>
      </c>
      <c r="E86" s="1">
        <f t="shared" si="5"/>
        <v>0.48194444444444451</v>
      </c>
      <c r="F86" s="3">
        <v>46122</v>
      </c>
    </row>
    <row r="87" spans="1:6" x14ac:dyDescent="0.3">
      <c r="A87" t="s">
        <v>13</v>
      </c>
      <c r="B87">
        <v>220</v>
      </c>
      <c r="C87" s="5">
        <f t="shared" si="4"/>
        <v>2.5949999999999918E-3</v>
      </c>
      <c r="D87">
        <v>4.0563000000000002</v>
      </c>
      <c r="E87" s="1">
        <f t="shared" si="5"/>
        <v>0.48333333333333339</v>
      </c>
      <c r="F87" s="3">
        <v>46122</v>
      </c>
    </row>
    <row r="88" spans="1:6" x14ac:dyDescent="0.3">
      <c r="A88" t="s">
        <v>14</v>
      </c>
      <c r="B88">
        <v>220</v>
      </c>
      <c r="C88" s="4">
        <f t="shared" si="4"/>
        <v>2.0050000000000124E-3</v>
      </c>
      <c r="D88">
        <v>2.6808999999999998</v>
      </c>
      <c r="E88" s="1">
        <f t="shared" si="5"/>
        <v>0.48333333333333339</v>
      </c>
      <c r="F88" s="3">
        <v>46122</v>
      </c>
    </row>
    <row r="89" spans="1:6" x14ac:dyDescent="0.3">
      <c r="A89" t="s">
        <v>15</v>
      </c>
      <c r="B89">
        <v>220</v>
      </c>
      <c r="C89" s="4">
        <f t="shared" si="4"/>
        <v>9.2000000000000968E-4</v>
      </c>
      <c r="D89">
        <v>2.4104999999999999</v>
      </c>
      <c r="E89" s="1">
        <f t="shared" si="5"/>
        <v>0.4875000000000001</v>
      </c>
      <c r="F89" s="3">
        <v>46122</v>
      </c>
    </row>
    <row r="90" spans="1:6" x14ac:dyDescent="0.3">
      <c r="A90" t="s">
        <v>16</v>
      </c>
      <c r="B90">
        <v>220</v>
      </c>
      <c r="C90" s="4">
        <f t="shared" si="4"/>
        <v>7.6499999999999344E-4</v>
      </c>
      <c r="D90">
        <v>2.2082999999999999</v>
      </c>
      <c r="E90" s="1">
        <f t="shared" si="5"/>
        <v>0.48958333333333343</v>
      </c>
      <c r="F90" s="3">
        <v>46122</v>
      </c>
    </row>
    <row r="91" spans="1:6" x14ac:dyDescent="0.3">
      <c r="A91" t="s">
        <v>17</v>
      </c>
      <c r="B91">
        <v>220</v>
      </c>
      <c r="C91" s="5">
        <f t="shared" si="4"/>
        <v>1.584999999999992E-3</v>
      </c>
      <c r="D91">
        <v>3.2641</v>
      </c>
      <c r="E91" s="1">
        <f t="shared" si="5"/>
        <v>0.49097222222222231</v>
      </c>
      <c r="F91" s="3">
        <v>46122</v>
      </c>
    </row>
    <row r="92" spans="1:6" x14ac:dyDescent="0.3">
      <c r="A92" t="s">
        <v>18</v>
      </c>
      <c r="B92">
        <v>220</v>
      </c>
      <c r="C92" s="4">
        <f t="shared" si="4"/>
        <v>8.9500000000000137E-4</v>
      </c>
      <c r="D92">
        <v>2.7690999999999999</v>
      </c>
      <c r="E92" s="1">
        <f t="shared" si="5"/>
        <v>0.49166666666666675</v>
      </c>
      <c r="F92" s="3">
        <v>46122</v>
      </c>
    </row>
    <row r="93" spans="1:6" x14ac:dyDescent="0.3">
      <c r="E93" s="1">
        <f t="shared" si="5"/>
        <v>0.4958333333333334</v>
      </c>
      <c r="F93" s="3">
        <v>46122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D2855-D76C-465C-AE57-6149A0CFB9AE}">
  <dimension ref="A1:F121"/>
  <sheetViews>
    <sheetView workbookViewId="0">
      <selection activeCell="A100" sqref="A100:F120"/>
    </sheetView>
  </sheetViews>
  <sheetFormatPr baseColWidth="10" defaultRowHeight="14.4" x14ac:dyDescent="0.3"/>
  <cols>
    <col min="3" max="3" width="11.5546875" style="5"/>
    <col min="6" max="6" width="19" bestFit="1" customWidth="1"/>
  </cols>
  <sheetData>
    <row r="1" spans="1:6" x14ac:dyDescent="0.3">
      <c r="A1" t="s">
        <v>0</v>
      </c>
      <c r="B1" t="s">
        <v>56</v>
      </c>
      <c r="C1" s="5" t="s">
        <v>58</v>
      </c>
      <c r="D1" t="s">
        <v>48</v>
      </c>
      <c r="E1" t="s">
        <v>8</v>
      </c>
      <c r="F1" t="s">
        <v>20</v>
      </c>
    </row>
    <row r="2" spans="1:6" x14ac:dyDescent="0.3">
      <c r="A2" t="s">
        <v>49</v>
      </c>
      <c r="B2" t="s">
        <v>57</v>
      </c>
      <c r="D2">
        <v>1.4294</v>
      </c>
      <c r="E2" s="1">
        <v>0.3298611111111111</v>
      </c>
      <c r="F2" s="3">
        <v>46129</v>
      </c>
    </row>
    <row r="3" spans="1:6" x14ac:dyDescent="0.3">
      <c r="A3" t="s">
        <v>50</v>
      </c>
      <c r="B3" t="s">
        <v>57</v>
      </c>
      <c r="D3">
        <v>1.1678999999999999</v>
      </c>
      <c r="E3" s="1">
        <v>0.33124999999999999</v>
      </c>
      <c r="F3" s="3">
        <v>46129</v>
      </c>
    </row>
    <row r="4" spans="1:6" x14ac:dyDescent="0.3">
      <c r="A4" t="s">
        <v>51</v>
      </c>
      <c r="B4" t="s">
        <v>57</v>
      </c>
      <c r="D4">
        <v>3.2578999999999998</v>
      </c>
      <c r="E4" s="1">
        <v>0.33194444444444443</v>
      </c>
      <c r="F4" s="3">
        <v>46129</v>
      </c>
    </row>
    <row r="5" spans="1:6" x14ac:dyDescent="0.3">
      <c r="A5" t="s">
        <v>52</v>
      </c>
      <c r="B5" t="s">
        <v>57</v>
      </c>
      <c r="D5">
        <v>1.0081</v>
      </c>
      <c r="E5" s="1">
        <v>0.33333333333333331</v>
      </c>
      <c r="F5" s="3">
        <v>46129</v>
      </c>
    </row>
    <row r="6" spans="1:6" x14ac:dyDescent="0.3">
      <c r="A6" t="s">
        <v>53</v>
      </c>
      <c r="B6" t="s">
        <v>57</v>
      </c>
      <c r="D6">
        <v>2.8109999999999999</v>
      </c>
      <c r="E6" s="1">
        <v>0.33402777777777776</v>
      </c>
      <c r="F6" s="3">
        <v>46129</v>
      </c>
    </row>
    <row r="7" spans="1:6" x14ac:dyDescent="0.3">
      <c r="A7" t="s">
        <v>54</v>
      </c>
      <c r="B7" t="s">
        <v>57</v>
      </c>
      <c r="D7">
        <v>1.9417</v>
      </c>
      <c r="E7" s="1">
        <v>0.33611111111111114</v>
      </c>
      <c r="F7" s="3">
        <v>46129</v>
      </c>
    </row>
    <row r="8" spans="1:6" x14ac:dyDescent="0.3">
      <c r="A8" t="s">
        <v>55</v>
      </c>
      <c r="B8" t="s">
        <v>57</v>
      </c>
      <c r="D8">
        <v>3.1341000000000001</v>
      </c>
      <c r="E8" s="1">
        <v>0.33680555555555558</v>
      </c>
      <c r="F8" s="3">
        <v>46129</v>
      </c>
    </row>
    <row r="9" spans="1:6" x14ac:dyDescent="0.3">
      <c r="A9" t="s">
        <v>49</v>
      </c>
      <c r="B9">
        <v>0</v>
      </c>
      <c r="C9" s="5">
        <v>0</v>
      </c>
      <c r="D9">
        <v>1.4164000000000001</v>
      </c>
      <c r="E9" s="1">
        <v>0.33819444444444446</v>
      </c>
      <c r="F9" s="3">
        <v>46129</v>
      </c>
    </row>
    <row r="10" spans="1:6" x14ac:dyDescent="0.3">
      <c r="A10" t="s">
        <v>50</v>
      </c>
      <c r="B10">
        <v>0</v>
      </c>
      <c r="C10" s="5">
        <v>0</v>
      </c>
      <c r="D10">
        <v>1.1617999999999999</v>
      </c>
      <c r="E10" s="1">
        <f t="shared" ref="E10:E15" si="0">E3+(12/1440)</f>
        <v>0.33958333333333335</v>
      </c>
      <c r="F10" s="3">
        <v>46129</v>
      </c>
    </row>
    <row r="11" spans="1:6" x14ac:dyDescent="0.3">
      <c r="A11" t="s">
        <v>51</v>
      </c>
      <c r="B11">
        <v>0</v>
      </c>
      <c r="C11" s="5">
        <v>0</v>
      </c>
      <c r="D11">
        <v>3.2391000000000001</v>
      </c>
      <c r="E11" s="1">
        <f t="shared" si="0"/>
        <v>0.34027777777777779</v>
      </c>
      <c r="F11" s="3">
        <v>46129</v>
      </c>
    </row>
    <row r="12" spans="1:6" x14ac:dyDescent="0.3">
      <c r="A12" t="s">
        <v>52</v>
      </c>
      <c r="B12">
        <v>0</v>
      </c>
      <c r="C12" s="5">
        <v>0</v>
      </c>
      <c r="D12">
        <v>0.99450000000000005</v>
      </c>
      <c r="E12" s="1">
        <f t="shared" si="0"/>
        <v>0.34166666666666667</v>
      </c>
      <c r="F12" s="3">
        <v>46129</v>
      </c>
    </row>
    <row r="13" spans="1:6" x14ac:dyDescent="0.3">
      <c r="A13" t="s">
        <v>53</v>
      </c>
      <c r="B13">
        <v>0</v>
      </c>
      <c r="C13" s="5">
        <v>0</v>
      </c>
      <c r="D13">
        <v>2.7959000000000001</v>
      </c>
      <c r="E13" s="1">
        <f t="shared" si="0"/>
        <v>0.34236111111111112</v>
      </c>
      <c r="F13" s="3">
        <v>46129</v>
      </c>
    </row>
    <row r="14" spans="1:6" x14ac:dyDescent="0.3">
      <c r="A14" t="s">
        <v>54</v>
      </c>
      <c r="B14">
        <v>0</v>
      </c>
      <c r="C14" s="5">
        <v>0</v>
      </c>
      <c r="D14">
        <v>1.9234</v>
      </c>
      <c r="E14" s="1">
        <f t="shared" si="0"/>
        <v>0.3444444444444445</v>
      </c>
      <c r="F14" s="3">
        <v>46129</v>
      </c>
    </row>
    <row r="15" spans="1:6" x14ac:dyDescent="0.3">
      <c r="A15" t="s">
        <v>55</v>
      </c>
      <c r="B15">
        <v>0</v>
      </c>
      <c r="C15" s="5">
        <v>0</v>
      </c>
      <c r="D15">
        <v>3.1175000000000002</v>
      </c>
      <c r="E15" s="1">
        <f t="shared" si="0"/>
        <v>0.34513888888888894</v>
      </c>
      <c r="F15" s="3">
        <v>46129</v>
      </c>
    </row>
    <row r="16" spans="1:6" x14ac:dyDescent="0.3">
      <c r="A16" t="s">
        <v>49</v>
      </c>
      <c r="B16">
        <v>20</v>
      </c>
      <c r="C16" s="5">
        <f>(D9-D16)/20</f>
        <v>9.9500000000000153E-4</v>
      </c>
      <c r="D16">
        <v>1.3965000000000001</v>
      </c>
      <c r="E16" s="1">
        <f t="shared" ref="E16:E22" si="1">E9+(20/1440)</f>
        <v>0.35208333333333336</v>
      </c>
      <c r="F16" s="3">
        <v>46129</v>
      </c>
    </row>
    <row r="17" spans="1:6" x14ac:dyDescent="0.3">
      <c r="A17" t="s">
        <v>50</v>
      </c>
      <c r="B17">
        <v>20</v>
      </c>
      <c r="C17" s="5">
        <f t="shared" ref="C17:C22" si="2">(D10-D17)/20</f>
        <v>5.1999999999999822E-4</v>
      </c>
      <c r="D17">
        <v>1.1514</v>
      </c>
      <c r="E17" s="1">
        <f t="shared" si="1"/>
        <v>0.35347222222222224</v>
      </c>
      <c r="F17" s="3">
        <v>46129</v>
      </c>
    </row>
    <row r="18" spans="1:6" x14ac:dyDescent="0.3">
      <c r="A18" t="s">
        <v>51</v>
      </c>
      <c r="B18">
        <v>20</v>
      </c>
      <c r="C18" s="5">
        <f t="shared" si="2"/>
        <v>1.4100000000000002E-3</v>
      </c>
      <c r="D18">
        <v>3.2109000000000001</v>
      </c>
      <c r="E18" s="1">
        <f t="shared" si="1"/>
        <v>0.35416666666666669</v>
      </c>
      <c r="F18" s="3">
        <v>46129</v>
      </c>
    </row>
    <row r="19" spans="1:6" x14ac:dyDescent="0.3">
      <c r="A19" t="s">
        <v>52</v>
      </c>
      <c r="B19">
        <v>20</v>
      </c>
      <c r="C19" s="5">
        <f t="shared" si="2"/>
        <v>9.3000000000000309E-4</v>
      </c>
      <c r="D19">
        <v>0.97589999999999999</v>
      </c>
      <c r="E19" s="1">
        <f t="shared" si="1"/>
        <v>0.35555555555555557</v>
      </c>
      <c r="F19" s="3">
        <v>46129</v>
      </c>
    </row>
    <row r="20" spans="1:6" x14ac:dyDescent="0.3">
      <c r="A20" t="s">
        <v>53</v>
      </c>
      <c r="B20">
        <v>20</v>
      </c>
      <c r="C20" s="5">
        <f t="shared" si="2"/>
        <v>1.1649999999999937E-3</v>
      </c>
      <c r="D20">
        <v>2.7726000000000002</v>
      </c>
      <c r="E20" s="1">
        <f t="shared" si="1"/>
        <v>0.35625000000000001</v>
      </c>
      <c r="F20" s="3">
        <v>46129</v>
      </c>
    </row>
    <row r="21" spans="1:6" x14ac:dyDescent="0.3">
      <c r="A21" t="s">
        <v>54</v>
      </c>
      <c r="B21">
        <v>20</v>
      </c>
      <c r="C21" s="5">
        <f t="shared" si="2"/>
        <v>1.3399999999999968E-3</v>
      </c>
      <c r="D21">
        <v>1.8966000000000001</v>
      </c>
      <c r="E21" s="1">
        <f t="shared" si="1"/>
        <v>0.35833333333333339</v>
      </c>
      <c r="F21" s="3">
        <v>46129</v>
      </c>
    </row>
    <row r="22" spans="1:6" x14ac:dyDescent="0.3">
      <c r="A22" t="s">
        <v>55</v>
      </c>
      <c r="B22">
        <v>20</v>
      </c>
      <c r="C22" s="5">
        <f t="shared" si="2"/>
        <v>1.3349999999999972E-3</v>
      </c>
      <c r="D22">
        <v>3.0908000000000002</v>
      </c>
      <c r="E22" s="1">
        <f t="shared" si="1"/>
        <v>0.35902777777777783</v>
      </c>
      <c r="F22" s="3">
        <v>46129</v>
      </c>
    </row>
    <row r="23" spans="1:6" x14ac:dyDescent="0.3">
      <c r="A23" t="s">
        <v>49</v>
      </c>
      <c r="B23">
        <v>40</v>
      </c>
      <c r="C23" s="5">
        <f>(D16-D23)/20</f>
        <v>9.9500000000000153E-4</v>
      </c>
      <c r="D23">
        <v>1.3766</v>
      </c>
      <c r="E23" s="1">
        <f t="shared" ref="E23:E86" si="3">E16+(20/1440)</f>
        <v>0.36597222222222225</v>
      </c>
      <c r="F23" s="3">
        <v>46129</v>
      </c>
    </row>
    <row r="24" spans="1:6" x14ac:dyDescent="0.3">
      <c r="A24" t="s">
        <v>50</v>
      </c>
      <c r="B24">
        <v>40</v>
      </c>
      <c r="C24" s="5">
        <f t="shared" ref="C24:C87" si="4">(D17-D24)/20</f>
        <v>4.9500000000000097E-4</v>
      </c>
      <c r="D24">
        <v>1.1415</v>
      </c>
      <c r="E24" s="1">
        <f t="shared" si="3"/>
        <v>0.36736111111111114</v>
      </c>
      <c r="F24" s="3">
        <v>46129</v>
      </c>
    </row>
    <row r="25" spans="1:6" x14ac:dyDescent="0.3">
      <c r="A25" t="s">
        <v>51</v>
      </c>
      <c r="B25">
        <v>40</v>
      </c>
      <c r="C25" s="5">
        <f t="shared" si="4"/>
        <v>1.3549999999999951E-3</v>
      </c>
      <c r="D25">
        <v>3.1838000000000002</v>
      </c>
      <c r="E25" s="1">
        <f t="shared" si="3"/>
        <v>0.36805555555555558</v>
      </c>
      <c r="F25" s="3">
        <v>46129</v>
      </c>
    </row>
    <row r="26" spans="1:6" x14ac:dyDescent="0.3">
      <c r="A26" t="s">
        <v>52</v>
      </c>
      <c r="B26">
        <v>40</v>
      </c>
      <c r="C26" s="5">
        <f t="shared" si="4"/>
        <v>9.0999999999999968E-4</v>
      </c>
      <c r="D26">
        <v>0.9577</v>
      </c>
      <c r="E26" s="1">
        <f t="shared" si="3"/>
        <v>0.36944444444444446</v>
      </c>
      <c r="F26" s="3">
        <v>46129</v>
      </c>
    </row>
    <row r="27" spans="1:6" x14ac:dyDescent="0.3">
      <c r="A27" t="s">
        <v>53</v>
      </c>
      <c r="B27">
        <v>40</v>
      </c>
      <c r="C27" s="5">
        <f t="shared" si="4"/>
        <v>1.3249999999999985E-3</v>
      </c>
      <c r="D27">
        <v>2.7461000000000002</v>
      </c>
      <c r="E27" s="1">
        <f t="shared" si="3"/>
        <v>0.37013888888888891</v>
      </c>
      <c r="F27" s="3">
        <v>46129</v>
      </c>
    </row>
    <row r="28" spans="1:6" x14ac:dyDescent="0.3">
      <c r="A28" t="s">
        <v>54</v>
      </c>
      <c r="B28">
        <v>40</v>
      </c>
      <c r="C28" s="5">
        <f t="shared" si="4"/>
        <v>1.2600000000000055E-3</v>
      </c>
      <c r="D28">
        <v>1.8714</v>
      </c>
      <c r="E28" s="1">
        <f t="shared" si="3"/>
        <v>0.37222222222222229</v>
      </c>
      <c r="F28" s="3">
        <v>46129</v>
      </c>
    </row>
    <row r="29" spans="1:6" x14ac:dyDescent="0.3">
      <c r="A29" t="s">
        <v>55</v>
      </c>
      <c r="B29">
        <v>40</v>
      </c>
      <c r="C29" s="5">
        <f t="shared" si="4"/>
        <v>1.2650000000000051E-3</v>
      </c>
      <c r="D29">
        <v>3.0655000000000001</v>
      </c>
      <c r="E29" s="1">
        <f t="shared" si="3"/>
        <v>0.37291666666666673</v>
      </c>
      <c r="F29" s="3">
        <v>46129</v>
      </c>
    </row>
    <row r="30" spans="1:6" x14ac:dyDescent="0.3">
      <c r="A30" t="s">
        <v>49</v>
      </c>
      <c r="B30">
        <v>60</v>
      </c>
      <c r="C30" s="5">
        <f t="shared" si="4"/>
        <v>9.1499999999999915E-4</v>
      </c>
      <c r="D30">
        <v>1.3583000000000001</v>
      </c>
      <c r="E30" s="1">
        <f t="shared" si="3"/>
        <v>0.37986111111111115</v>
      </c>
      <c r="F30" s="3">
        <v>46129</v>
      </c>
    </row>
    <row r="31" spans="1:6" x14ac:dyDescent="0.3">
      <c r="A31" t="s">
        <v>50</v>
      </c>
      <c r="B31">
        <v>60</v>
      </c>
      <c r="C31" s="5">
        <f t="shared" si="4"/>
        <v>4.3999999999999595E-4</v>
      </c>
      <c r="D31">
        <v>1.1327</v>
      </c>
      <c r="E31" s="1">
        <f t="shared" si="3"/>
        <v>0.38125000000000003</v>
      </c>
      <c r="F31" s="3">
        <v>46129</v>
      </c>
    </row>
    <row r="32" spans="1:6" x14ac:dyDescent="0.3">
      <c r="A32" t="s">
        <v>51</v>
      </c>
      <c r="B32">
        <v>60</v>
      </c>
      <c r="C32" s="5">
        <f t="shared" si="4"/>
        <v>1.3149999999999995E-3</v>
      </c>
      <c r="D32">
        <v>3.1575000000000002</v>
      </c>
      <c r="E32" s="1">
        <f t="shared" si="3"/>
        <v>0.38194444444444448</v>
      </c>
      <c r="F32" s="3">
        <v>46129</v>
      </c>
    </row>
    <row r="33" spans="1:6" x14ac:dyDescent="0.3">
      <c r="A33" t="s">
        <v>52</v>
      </c>
      <c r="B33">
        <v>60</v>
      </c>
      <c r="C33" s="5">
        <f t="shared" si="4"/>
        <v>8.3500000000000241E-4</v>
      </c>
      <c r="D33">
        <v>0.94099999999999995</v>
      </c>
      <c r="E33" s="1">
        <f t="shared" si="3"/>
        <v>0.38333333333333336</v>
      </c>
      <c r="F33" s="3">
        <v>46129</v>
      </c>
    </row>
    <row r="34" spans="1:6" x14ac:dyDescent="0.3">
      <c r="A34" t="s">
        <v>53</v>
      </c>
      <c r="B34">
        <v>60</v>
      </c>
      <c r="C34" s="5">
        <f t="shared" si="4"/>
        <v>8.5000000000001741E-4</v>
      </c>
      <c r="D34">
        <v>2.7290999999999999</v>
      </c>
      <c r="E34" s="1">
        <f t="shared" si="3"/>
        <v>0.3840277777777778</v>
      </c>
      <c r="F34" s="3">
        <v>46129</v>
      </c>
    </row>
    <row r="35" spans="1:6" x14ac:dyDescent="0.3">
      <c r="A35" t="s">
        <v>54</v>
      </c>
      <c r="B35">
        <v>60</v>
      </c>
      <c r="C35" s="5">
        <f t="shared" si="4"/>
        <v>1.2449999999999961E-3</v>
      </c>
      <c r="D35">
        <v>1.8465</v>
      </c>
      <c r="E35" s="1">
        <f t="shared" si="3"/>
        <v>0.38611111111111118</v>
      </c>
      <c r="F35" s="3">
        <v>46129</v>
      </c>
    </row>
    <row r="36" spans="1:6" x14ac:dyDescent="0.3">
      <c r="A36" t="s">
        <v>55</v>
      </c>
      <c r="B36">
        <v>60</v>
      </c>
      <c r="C36" s="5">
        <f t="shared" si="4"/>
        <v>1.3249999999999985E-3</v>
      </c>
      <c r="D36">
        <v>3.0390000000000001</v>
      </c>
      <c r="E36" s="1">
        <f t="shared" si="3"/>
        <v>0.38680555555555562</v>
      </c>
      <c r="F36" s="3">
        <v>46129</v>
      </c>
    </row>
    <row r="37" spans="1:6" x14ac:dyDescent="0.3">
      <c r="A37" t="s">
        <v>49</v>
      </c>
      <c r="B37">
        <v>80</v>
      </c>
      <c r="C37" s="5">
        <f t="shared" si="4"/>
        <v>8.8500000000000243E-4</v>
      </c>
      <c r="D37">
        <v>1.3406</v>
      </c>
      <c r="E37" s="1">
        <f t="shared" si="3"/>
        <v>0.39375000000000004</v>
      </c>
      <c r="F37" s="3">
        <v>46129</v>
      </c>
    </row>
    <row r="38" spans="1:6" x14ac:dyDescent="0.3">
      <c r="A38" t="s">
        <v>50</v>
      </c>
      <c r="B38">
        <v>80</v>
      </c>
      <c r="C38" s="5">
        <f t="shared" si="4"/>
        <v>4.6000000000000484E-4</v>
      </c>
      <c r="D38">
        <v>1.1234999999999999</v>
      </c>
      <c r="E38" s="1">
        <f t="shared" si="3"/>
        <v>0.39513888888888893</v>
      </c>
      <c r="F38" s="3">
        <v>46129</v>
      </c>
    </row>
    <row r="39" spans="1:6" x14ac:dyDescent="0.3">
      <c r="A39" t="s">
        <v>51</v>
      </c>
      <c r="B39">
        <v>80</v>
      </c>
      <c r="C39" s="5">
        <f t="shared" si="4"/>
        <v>1.2550000000000061E-3</v>
      </c>
      <c r="D39">
        <v>3.1324000000000001</v>
      </c>
      <c r="E39" s="1">
        <f t="shared" si="3"/>
        <v>0.39583333333333337</v>
      </c>
      <c r="F39" s="3">
        <v>46129</v>
      </c>
    </row>
    <row r="40" spans="1:6" x14ac:dyDescent="0.3">
      <c r="A40" t="s">
        <v>52</v>
      </c>
      <c r="B40">
        <v>80</v>
      </c>
      <c r="C40" s="5">
        <f t="shared" si="4"/>
        <v>7.8999999999999622E-4</v>
      </c>
      <c r="D40">
        <v>0.92520000000000002</v>
      </c>
      <c r="E40" s="1">
        <f t="shared" si="3"/>
        <v>0.39722222222222225</v>
      </c>
      <c r="F40" s="3">
        <v>46129</v>
      </c>
    </row>
    <row r="41" spans="1:6" x14ac:dyDescent="0.3">
      <c r="A41" t="s">
        <v>53</v>
      </c>
      <c r="B41">
        <v>80</v>
      </c>
      <c r="C41" s="5">
        <f t="shared" si="4"/>
        <v>1.0249999999999871E-3</v>
      </c>
      <c r="D41">
        <v>2.7086000000000001</v>
      </c>
      <c r="E41" s="1">
        <f t="shared" si="3"/>
        <v>0.3979166666666667</v>
      </c>
      <c r="F41" s="3">
        <v>46129</v>
      </c>
    </row>
    <row r="42" spans="1:6" x14ac:dyDescent="0.3">
      <c r="A42" t="s">
        <v>54</v>
      </c>
      <c r="B42">
        <v>80</v>
      </c>
      <c r="C42" s="5">
        <f t="shared" si="4"/>
        <v>1.4299999999999979E-3</v>
      </c>
      <c r="D42">
        <v>1.8179000000000001</v>
      </c>
      <c r="E42" s="1">
        <f t="shared" si="3"/>
        <v>0.40000000000000008</v>
      </c>
      <c r="F42" s="3">
        <v>46129</v>
      </c>
    </row>
    <row r="43" spans="1:6" x14ac:dyDescent="0.3">
      <c r="A43" t="s">
        <v>55</v>
      </c>
      <c r="B43">
        <v>80</v>
      </c>
      <c r="C43" s="5">
        <f t="shared" si="4"/>
        <v>1.4750000000000041E-3</v>
      </c>
      <c r="D43">
        <v>3.0095000000000001</v>
      </c>
      <c r="E43" s="1">
        <f t="shared" si="3"/>
        <v>0.40069444444444452</v>
      </c>
      <c r="F43" s="3">
        <v>46129</v>
      </c>
    </row>
    <row r="44" spans="1:6" x14ac:dyDescent="0.3">
      <c r="A44" t="s">
        <v>49</v>
      </c>
      <c r="B44">
        <v>100</v>
      </c>
      <c r="C44" s="5">
        <f t="shared" si="4"/>
        <v>9.3499999999999692E-4</v>
      </c>
      <c r="D44">
        <v>1.3219000000000001</v>
      </c>
      <c r="E44" s="1">
        <f t="shared" si="3"/>
        <v>0.40763888888888894</v>
      </c>
      <c r="F44" s="3">
        <v>46129</v>
      </c>
    </row>
    <row r="45" spans="1:6" x14ac:dyDescent="0.3">
      <c r="A45" t="s">
        <v>50</v>
      </c>
      <c r="B45">
        <v>100</v>
      </c>
      <c r="C45" s="5">
        <f t="shared" si="4"/>
        <v>4.5499999999999431E-4</v>
      </c>
      <c r="D45">
        <v>1.1144000000000001</v>
      </c>
      <c r="E45" s="1">
        <f t="shared" si="3"/>
        <v>0.40902777777777782</v>
      </c>
      <c r="F45" s="3">
        <v>46129</v>
      </c>
    </row>
    <row r="46" spans="1:6" x14ac:dyDescent="0.3">
      <c r="A46" t="s">
        <v>51</v>
      </c>
      <c r="B46">
        <v>100</v>
      </c>
      <c r="C46" s="5">
        <f t="shared" si="4"/>
        <v>1.3249999999999985E-3</v>
      </c>
      <c r="D46">
        <v>3.1059000000000001</v>
      </c>
      <c r="E46" s="1">
        <f t="shared" si="3"/>
        <v>0.40972222222222227</v>
      </c>
      <c r="F46" s="3">
        <v>46129</v>
      </c>
    </row>
    <row r="47" spans="1:6" x14ac:dyDescent="0.3">
      <c r="A47" t="s">
        <v>52</v>
      </c>
      <c r="B47">
        <v>100</v>
      </c>
      <c r="C47" s="5">
        <f t="shared" si="4"/>
        <v>7.8500000000000238E-4</v>
      </c>
      <c r="D47">
        <v>0.90949999999999998</v>
      </c>
      <c r="E47" s="1">
        <f t="shared" si="3"/>
        <v>0.41111111111111115</v>
      </c>
      <c r="F47" s="3">
        <v>46129</v>
      </c>
    </row>
    <row r="48" spans="1:6" x14ac:dyDescent="0.3">
      <c r="A48" t="s">
        <v>53</v>
      </c>
      <c r="B48">
        <v>100</v>
      </c>
      <c r="C48" s="5">
        <f t="shared" si="4"/>
        <v>1.0050000000000115E-3</v>
      </c>
      <c r="D48">
        <v>2.6884999999999999</v>
      </c>
      <c r="E48" s="1">
        <f t="shared" si="3"/>
        <v>0.41180555555555559</v>
      </c>
      <c r="F48" s="3">
        <v>46129</v>
      </c>
    </row>
    <row r="49" spans="1:6" x14ac:dyDescent="0.3">
      <c r="A49" t="s">
        <v>54</v>
      </c>
      <c r="B49">
        <v>100</v>
      </c>
      <c r="C49" s="5">
        <f t="shared" si="4"/>
        <v>1.1950000000000016E-3</v>
      </c>
      <c r="D49">
        <v>1.794</v>
      </c>
      <c r="E49" s="1">
        <f t="shared" si="3"/>
        <v>0.41388888888888897</v>
      </c>
      <c r="F49" s="3">
        <v>46129</v>
      </c>
    </row>
    <row r="50" spans="1:6" x14ac:dyDescent="0.3">
      <c r="A50" t="s">
        <v>55</v>
      </c>
      <c r="B50">
        <v>100</v>
      </c>
      <c r="C50" s="5">
        <f t="shared" si="4"/>
        <v>1.605000000000012E-3</v>
      </c>
      <c r="D50">
        <v>2.9773999999999998</v>
      </c>
      <c r="E50" s="1">
        <f t="shared" si="3"/>
        <v>0.41458333333333341</v>
      </c>
      <c r="F50" s="3">
        <v>46129</v>
      </c>
    </row>
    <row r="51" spans="1:6" x14ac:dyDescent="0.3">
      <c r="A51" t="s">
        <v>49</v>
      </c>
      <c r="B51">
        <v>120</v>
      </c>
      <c r="C51" s="5">
        <f t="shared" si="4"/>
        <v>9.3000000000000862E-4</v>
      </c>
      <c r="D51">
        <v>1.3032999999999999</v>
      </c>
      <c r="E51" s="1">
        <f t="shared" si="3"/>
        <v>0.42152777777777783</v>
      </c>
      <c r="F51" s="3">
        <v>46129</v>
      </c>
    </row>
    <row r="52" spans="1:6" x14ac:dyDescent="0.3">
      <c r="A52" t="s">
        <v>50</v>
      </c>
      <c r="B52">
        <v>120</v>
      </c>
      <c r="C52" s="5">
        <f t="shared" si="4"/>
        <v>4.4000000000000706E-4</v>
      </c>
      <c r="D52">
        <v>1.1055999999999999</v>
      </c>
      <c r="E52" s="1">
        <f t="shared" si="3"/>
        <v>0.42291666666666672</v>
      </c>
      <c r="F52" s="3">
        <v>46129</v>
      </c>
    </row>
    <row r="53" spans="1:6" x14ac:dyDescent="0.3">
      <c r="A53" t="s">
        <v>51</v>
      </c>
      <c r="B53">
        <v>120</v>
      </c>
      <c r="C53" s="5">
        <f t="shared" si="4"/>
        <v>1.2599999999999944E-3</v>
      </c>
      <c r="D53">
        <v>3.0807000000000002</v>
      </c>
      <c r="E53" s="1">
        <f t="shared" si="3"/>
        <v>0.42361111111111116</v>
      </c>
      <c r="F53" s="3">
        <v>46129</v>
      </c>
    </row>
    <row r="54" spans="1:6" x14ac:dyDescent="0.3">
      <c r="A54" t="s">
        <v>52</v>
      </c>
      <c r="B54">
        <v>120</v>
      </c>
      <c r="C54" s="5">
        <f t="shared" si="4"/>
        <v>7.9500000000000122E-4</v>
      </c>
      <c r="D54">
        <v>0.89359999999999995</v>
      </c>
      <c r="E54" s="1">
        <f t="shared" si="3"/>
        <v>0.42500000000000004</v>
      </c>
      <c r="F54" s="3">
        <v>46129</v>
      </c>
    </row>
    <row r="55" spans="1:6" x14ac:dyDescent="0.3">
      <c r="A55" t="s">
        <v>53</v>
      </c>
      <c r="B55">
        <v>120</v>
      </c>
      <c r="C55" s="5">
        <f t="shared" si="4"/>
        <v>9.7000000000000417E-4</v>
      </c>
      <c r="D55">
        <v>2.6690999999999998</v>
      </c>
      <c r="E55" s="1">
        <f t="shared" si="3"/>
        <v>0.42569444444444449</v>
      </c>
      <c r="F55" s="3">
        <v>46129</v>
      </c>
    </row>
    <row r="56" spans="1:6" x14ac:dyDescent="0.3">
      <c r="A56" t="s">
        <v>54</v>
      </c>
      <c r="B56">
        <v>120</v>
      </c>
      <c r="C56" s="5">
        <f t="shared" si="4"/>
        <v>1.055000000000006E-3</v>
      </c>
      <c r="D56">
        <v>1.7728999999999999</v>
      </c>
      <c r="E56" s="1">
        <f t="shared" si="3"/>
        <v>0.42777777777777787</v>
      </c>
      <c r="F56" s="3">
        <v>46129</v>
      </c>
    </row>
    <row r="57" spans="1:6" x14ac:dyDescent="0.3">
      <c r="A57" t="s">
        <v>55</v>
      </c>
      <c r="B57">
        <v>120</v>
      </c>
      <c r="C57" s="5">
        <f t="shared" si="4"/>
        <v>1.6249999999999876E-3</v>
      </c>
      <c r="D57">
        <v>2.9449000000000001</v>
      </c>
      <c r="E57" s="1">
        <f t="shared" si="3"/>
        <v>0.42847222222222231</v>
      </c>
      <c r="F57" s="3">
        <v>46129</v>
      </c>
    </row>
    <row r="58" spans="1:6" x14ac:dyDescent="0.3">
      <c r="A58" t="s">
        <v>49</v>
      </c>
      <c r="B58">
        <v>140</v>
      </c>
      <c r="C58" s="5">
        <f t="shared" si="4"/>
        <v>8.4999999999999518E-4</v>
      </c>
      <c r="D58">
        <v>1.2863</v>
      </c>
      <c r="E58" s="1">
        <f t="shared" si="3"/>
        <v>0.43541666666666673</v>
      </c>
      <c r="F58" s="3">
        <v>46129</v>
      </c>
    </row>
    <row r="59" spans="1:6" x14ac:dyDescent="0.3">
      <c r="A59" t="s">
        <v>50</v>
      </c>
      <c r="B59">
        <v>140</v>
      </c>
      <c r="C59" s="5">
        <f t="shared" si="4"/>
        <v>4.2499999999999759E-4</v>
      </c>
      <c r="D59">
        <v>1.0971</v>
      </c>
      <c r="E59" s="1">
        <f t="shared" si="3"/>
        <v>0.43680555555555561</v>
      </c>
      <c r="F59" s="3">
        <v>46129</v>
      </c>
    </row>
    <row r="60" spans="1:6" x14ac:dyDescent="0.3">
      <c r="A60" t="s">
        <v>51</v>
      </c>
      <c r="B60">
        <v>140</v>
      </c>
      <c r="C60" s="5">
        <f t="shared" si="4"/>
        <v>1.1550000000000171E-3</v>
      </c>
      <c r="D60">
        <v>3.0575999999999999</v>
      </c>
      <c r="E60" s="1">
        <f t="shared" si="3"/>
        <v>0.43750000000000006</v>
      </c>
      <c r="F60" s="3">
        <v>46129</v>
      </c>
    </row>
    <row r="61" spans="1:6" x14ac:dyDescent="0.3">
      <c r="A61" t="s">
        <v>52</v>
      </c>
      <c r="B61">
        <v>140</v>
      </c>
      <c r="C61" s="5">
        <f t="shared" si="4"/>
        <v>6.2999999999999721E-4</v>
      </c>
      <c r="D61">
        <v>0.88100000000000001</v>
      </c>
      <c r="E61" s="1">
        <f t="shared" si="3"/>
        <v>0.43888888888888894</v>
      </c>
      <c r="F61" s="3">
        <v>46129</v>
      </c>
    </row>
    <row r="62" spans="1:6" x14ac:dyDescent="0.3">
      <c r="A62" t="s">
        <v>53</v>
      </c>
      <c r="B62">
        <v>140</v>
      </c>
      <c r="C62" s="5">
        <f t="shared" si="4"/>
        <v>8.1999999999999846E-4</v>
      </c>
      <c r="D62">
        <v>2.6526999999999998</v>
      </c>
      <c r="E62" s="1">
        <f t="shared" si="3"/>
        <v>0.43958333333333338</v>
      </c>
      <c r="F62" s="3">
        <v>46129</v>
      </c>
    </row>
    <row r="63" spans="1:6" x14ac:dyDescent="0.3">
      <c r="A63" t="s">
        <v>54</v>
      </c>
      <c r="B63">
        <v>140</v>
      </c>
      <c r="C63" s="5">
        <f t="shared" si="4"/>
        <v>1.0399999999999964E-3</v>
      </c>
      <c r="D63">
        <v>1.7521</v>
      </c>
      <c r="E63" s="1">
        <f t="shared" si="3"/>
        <v>0.44166666666666676</v>
      </c>
      <c r="F63" s="3">
        <v>46129</v>
      </c>
    </row>
    <row r="64" spans="1:6" x14ac:dyDescent="0.3">
      <c r="A64" t="s">
        <v>55</v>
      </c>
      <c r="B64">
        <v>140</v>
      </c>
      <c r="C64" s="5">
        <f t="shared" si="4"/>
        <v>1.1700000000000044E-3</v>
      </c>
      <c r="D64">
        <v>2.9215</v>
      </c>
      <c r="E64" s="1">
        <f t="shared" si="3"/>
        <v>0.4423611111111112</v>
      </c>
      <c r="F64" s="3">
        <v>46129</v>
      </c>
    </row>
    <row r="65" spans="1:6" x14ac:dyDescent="0.3">
      <c r="A65" t="s">
        <v>49</v>
      </c>
      <c r="B65">
        <v>160</v>
      </c>
      <c r="C65" s="5">
        <f t="shared" si="4"/>
        <v>7.8500000000000238E-4</v>
      </c>
      <c r="D65">
        <v>1.2706</v>
      </c>
      <c r="E65" s="1">
        <f t="shared" si="3"/>
        <v>0.44930555555555562</v>
      </c>
      <c r="F65" s="3">
        <v>46129</v>
      </c>
    </row>
    <row r="66" spans="1:6" x14ac:dyDescent="0.3">
      <c r="A66" t="s">
        <v>50</v>
      </c>
      <c r="B66">
        <v>160</v>
      </c>
      <c r="C66" s="5">
        <f t="shared" si="4"/>
        <v>4.3499999999999648E-4</v>
      </c>
      <c r="D66">
        <v>1.0884</v>
      </c>
      <c r="E66" s="1">
        <f t="shared" si="3"/>
        <v>0.45069444444444451</v>
      </c>
      <c r="F66" s="3">
        <v>46129</v>
      </c>
    </row>
    <row r="67" spans="1:6" x14ac:dyDescent="0.3">
      <c r="A67" t="s">
        <v>51</v>
      </c>
      <c r="B67">
        <v>160</v>
      </c>
      <c r="C67" s="5">
        <f t="shared" si="4"/>
        <v>1.0899999999999909E-3</v>
      </c>
      <c r="D67">
        <v>3.0358000000000001</v>
      </c>
      <c r="E67" s="1">
        <f t="shared" si="3"/>
        <v>0.45138888888888895</v>
      </c>
      <c r="F67" s="3">
        <v>46129</v>
      </c>
    </row>
    <row r="68" spans="1:6" x14ac:dyDescent="0.3">
      <c r="A68" t="s">
        <v>52</v>
      </c>
      <c r="B68">
        <v>160</v>
      </c>
      <c r="C68" s="5">
        <f t="shared" si="4"/>
        <v>7.450000000000012E-4</v>
      </c>
      <c r="D68">
        <v>0.86609999999999998</v>
      </c>
      <c r="E68" s="1">
        <f t="shared" si="3"/>
        <v>0.45277777777777783</v>
      </c>
      <c r="F68" s="3">
        <v>46129</v>
      </c>
    </row>
    <row r="69" spans="1:6" x14ac:dyDescent="0.3">
      <c r="A69" t="s">
        <v>53</v>
      </c>
      <c r="B69">
        <v>160</v>
      </c>
      <c r="C69" s="5">
        <f t="shared" si="4"/>
        <v>9.3499999999999692E-4</v>
      </c>
      <c r="D69">
        <v>2.6339999999999999</v>
      </c>
      <c r="E69" s="1">
        <f t="shared" si="3"/>
        <v>0.45347222222222228</v>
      </c>
      <c r="F69" s="3">
        <v>46129</v>
      </c>
    </row>
    <row r="70" spans="1:6" x14ac:dyDescent="0.3">
      <c r="A70" t="s">
        <v>54</v>
      </c>
      <c r="B70">
        <v>160</v>
      </c>
      <c r="C70" s="5">
        <f t="shared" si="4"/>
        <v>1.0549999999999947E-3</v>
      </c>
      <c r="D70">
        <v>1.7310000000000001</v>
      </c>
      <c r="E70" s="1">
        <f t="shared" si="3"/>
        <v>0.45555555555555566</v>
      </c>
      <c r="F70" s="3">
        <v>46129</v>
      </c>
    </row>
    <row r="71" spans="1:6" x14ac:dyDescent="0.3">
      <c r="A71" t="s">
        <v>55</v>
      </c>
      <c r="B71">
        <v>160</v>
      </c>
      <c r="C71" s="5">
        <f t="shared" si="4"/>
        <v>1.1149999999999992E-3</v>
      </c>
      <c r="D71">
        <v>2.8992</v>
      </c>
      <c r="E71" s="1">
        <f t="shared" si="3"/>
        <v>0.4562500000000001</v>
      </c>
      <c r="F71" s="3">
        <v>46129</v>
      </c>
    </row>
    <row r="72" spans="1:6" x14ac:dyDescent="0.3">
      <c r="A72" t="s">
        <v>49</v>
      </c>
      <c r="B72">
        <v>180</v>
      </c>
      <c r="C72" s="5">
        <f t="shared" si="4"/>
        <v>9.0000000000000084E-4</v>
      </c>
      <c r="D72">
        <v>1.2525999999999999</v>
      </c>
      <c r="E72" s="1">
        <f t="shared" si="3"/>
        <v>0.46319444444444452</v>
      </c>
      <c r="F72" s="3">
        <v>46129</v>
      </c>
    </row>
    <row r="73" spans="1:6" x14ac:dyDescent="0.3">
      <c r="A73" t="s">
        <v>50</v>
      </c>
      <c r="B73">
        <v>180</v>
      </c>
      <c r="C73" s="5">
        <f t="shared" si="4"/>
        <v>4.149999999999987E-4</v>
      </c>
      <c r="D73">
        <v>1.0801000000000001</v>
      </c>
      <c r="E73" s="1">
        <f t="shared" si="3"/>
        <v>0.4645833333333334</v>
      </c>
      <c r="F73" s="3">
        <v>46129</v>
      </c>
    </row>
    <row r="74" spans="1:6" x14ac:dyDescent="0.3">
      <c r="A74" t="s">
        <v>51</v>
      </c>
      <c r="B74">
        <v>180</v>
      </c>
      <c r="C74" s="5">
        <f t="shared" si="4"/>
        <v>9.6000000000000534E-4</v>
      </c>
      <c r="D74">
        <v>3.0165999999999999</v>
      </c>
      <c r="E74" s="1">
        <f t="shared" si="3"/>
        <v>0.46527777777777785</v>
      </c>
      <c r="F74" s="3">
        <v>46129</v>
      </c>
    </row>
    <row r="75" spans="1:6" x14ac:dyDescent="0.3">
      <c r="A75" t="s">
        <v>52</v>
      </c>
      <c r="B75">
        <v>180</v>
      </c>
      <c r="C75" s="5">
        <f t="shared" si="4"/>
        <v>6.849999999999967E-4</v>
      </c>
      <c r="D75">
        <v>0.85240000000000005</v>
      </c>
      <c r="E75" s="1">
        <f t="shared" si="3"/>
        <v>0.46666666666666673</v>
      </c>
      <c r="F75" s="3">
        <v>46129</v>
      </c>
    </row>
    <row r="76" spans="1:6" x14ac:dyDescent="0.3">
      <c r="A76" t="s">
        <v>53</v>
      </c>
      <c r="B76">
        <v>180</v>
      </c>
      <c r="C76" s="5">
        <f t="shared" si="4"/>
        <v>8.2999999999999741E-4</v>
      </c>
      <c r="D76">
        <v>2.6173999999999999</v>
      </c>
      <c r="E76" s="1">
        <f t="shared" si="3"/>
        <v>0.46736111111111117</v>
      </c>
      <c r="F76" s="3">
        <v>46129</v>
      </c>
    </row>
    <row r="77" spans="1:6" x14ac:dyDescent="0.3">
      <c r="A77" t="s">
        <v>54</v>
      </c>
      <c r="B77">
        <v>180</v>
      </c>
      <c r="C77" s="5">
        <f t="shared" si="4"/>
        <v>9.3000000000000862E-4</v>
      </c>
      <c r="D77">
        <v>1.7123999999999999</v>
      </c>
      <c r="E77" s="1">
        <f t="shared" si="3"/>
        <v>0.46944444444444455</v>
      </c>
      <c r="F77" s="3">
        <v>46129</v>
      </c>
    </row>
    <row r="78" spans="1:6" x14ac:dyDescent="0.3">
      <c r="A78" t="s">
        <v>55</v>
      </c>
      <c r="B78">
        <v>180</v>
      </c>
      <c r="C78" s="5">
        <f t="shared" si="4"/>
        <v>1.0199999999999988E-3</v>
      </c>
      <c r="D78">
        <v>2.8788</v>
      </c>
      <c r="E78" s="1">
        <f t="shared" si="3"/>
        <v>0.47013888888888899</v>
      </c>
      <c r="F78" s="3">
        <v>46129</v>
      </c>
    </row>
    <row r="79" spans="1:6" x14ac:dyDescent="0.3">
      <c r="A79" t="s">
        <v>49</v>
      </c>
      <c r="B79">
        <v>200</v>
      </c>
      <c r="C79" s="5">
        <f t="shared" si="4"/>
        <v>7.8499999999999122E-4</v>
      </c>
      <c r="D79">
        <v>1.2369000000000001</v>
      </c>
      <c r="E79" s="1">
        <f t="shared" si="3"/>
        <v>0.47708333333333341</v>
      </c>
      <c r="F79" s="3">
        <v>46129</v>
      </c>
    </row>
    <row r="80" spans="1:6" x14ac:dyDescent="0.3">
      <c r="A80" t="s">
        <v>50</v>
      </c>
      <c r="B80">
        <v>200</v>
      </c>
      <c r="C80" s="5">
        <f t="shared" si="4"/>
        <v>3.750000000000031E-4</v>
      </c>
      <c r="D80">
        <v>1.0726</v>
      </c>
      <c r="E80" s="1">
        <f t="shared" si="3"/>
        <v>0.4784722222222223</v>
      </c>
      <c r="F80" s="3">
        <v>46129</v>
      </c>
    </row>
    <row r="81" spans="1:6" x14ac:dyDescent="0.3">
      <c r="A81" t="s">
        <v>51</v>
      </c>
      <c r="B81">
        <v>200</v>
      </c>
      <c r="C81" s="5">
        <f t="shared" si="4"/>
        <v>9.2999999999998639E-4</v>
      </c>
      <c r="D81">
        <v>2.9980000000000002</v>
      </c>
      <c r="E81" s="1">
        <f t="shared" si="3"/>
        <v>0.47916666666666674</v>
      </c>
      <c r="F81" s="3">
        <v>46129</v>
      </c>
    </row>
    <row r="82" spans="1:6" x14ac:dyDescent="0.3">
      <c r="A82" t="s">
        <v>52</v>
      </c>
      <c r="B82">
        <v>200</v>
      </c>
      <c r="C82" s="5">
        <f t="shared" si="4"/>
        <v>7.1500000000000448E-4</v>
      </c>
      <c r="D82">
        <v>0.83809999999999996</v>
      </c>
      <c r="E82" s="1">
        <f t="shared" si="3"/>
        <v>0.48055555555555562</v>
      </c>
      <c r="F82" s="3">
        <v>46129</v>
      </c>
    </row>
    <row r="83" spans="1:6" x14ac:dyDescent="0.3">
      <c r="A83" t="s">
        <v>53</v>
      </c>
      <c r="B83">
        <v>200</v>
      </c>
      <c r="C83" s="5">
        <f t="shared" si="4"/>
        <v>8.4500000000000688E-4</v>
      </c>
      <c r="D83">
        <v>2.6004999999999998</v>
      </c>
      <c r="E83" s="1">
        <f t="shared" si="3"/>
        <v>0.48125000000000007</v>
      </c>
      <c r="F83" s="3">
        <v>46129</v>
      </c>
    </row>
    <row r="84" spans="1:6" x14ac:dyDescent="0.3">
      <c r="A84" t="s">
        <v>54</v>
      </c>
      <c r="B84">
        <v>200</v>
      </c>
      <c r="C84" s="5">
        <f t="shared" si="4"/>
        <v>9.5999999999999417E-4</v>
      </c>
      <c r="D84">
        <v>1.6932</v>
      </c>
      <c r="E84" s="1">
        <f t="shared" si="3"/>
        <v>0.48333333333333345</v>
      </c>
      <c r="F84" s="3">
        <v>46129</v>
      </c>
    </row>
    <row r="85" spans="1:6" x14ac:dyDescent="0.3">
      <c r="A85" t="s">
        <v>55</v>
      </c>
      <c r="B85">
        <v>200</v>
      </c>
      <c r="C85" s="5">
        <f t="shared" si="4"/>
        <v>1.0650000000000047E-3</v>
      </c>
      <c r="D85">
        <v>2.8574999999999999</v>
      </c>
      <c r="E85" s="1">
        <f t="shared" si="3"/>
        <v>0.48402777777777789</v>
      </c>
      <c r="F85" s="3">
        <v>46129</v>
      </c>
    </row>
    <row r="86" spans="1:6" x14ac:dyDescent="0.3">
      <c r="A86" t="s">
        <v>49</v>
      </c>
      <c r="B86">
        <v>220</v>
      </c>
      <c r="C86" s="5">
        <f t="shared" si="4"/>
        <v>7.9000000000000186E-4</v>
      </c>
      <c r="D86">
        <v>1.2211000000000001</v>
      </c>
      <c r="E86" s="1">
        <f t="shared" si="3"/>
        <v>0.49097222222222231</v>
      </c>
      <c r="F86" s="3">
        <v>46129</v>
      </c>
    </row>
    <row r="87" spans="1:6" x14ac:dyDescent="0.3">
      <c r="A87" t="s">
        <v>50</v>
      </c>
      <c r="B87">
        <v>220</v>
      </c>
      <c r="C87" s="5">
        <f t="shared" si="4"/>
        <v>4.5500000000000542E-4</v>
      </c>
      <c r="D87">
        <v>1.0634999999999999</v>
      </c>
      <c r="E87" s="1">
        <f t="shared" ref="E87:E120" si="5">E80+(20/1440)</f>
        <v>0.49236111111111119</v>
      </c>
      <c r="F87" s="3">
        <v>46129</v>
      </c>
    </row>
    <row r="88" spans="1:6" x14ac:dyDescent="0.3">
      <c r="A88" t="s">
        <v>51</v>
      </c>
      <c r="B88">
        <v>220</v>
      </c>
      <c r="C88" s="5">
        <f t="shared" ref="C88:C120" si="6">(D81-D88)/20</f>
        <v>9.8500000000001364E-4</v>
      </c>
      <c r="D88">
        <v>2.9782999999999999</v>
      </c>
      <c r="E88" s="1">
        <f t="shared" si="5"/>
        <v>0.49305555555555564</v>
      </c>
      <c r="F88" s="3">
        <v>46129</v>
      </c>
    </row>
    <row r="89" spans="1:6" x14ac:dyDescent="0.3">
      <c r="A89" t="s">
        <v>52</v>
      </c>
      <c r="B89">
        <v>220</v>
      </c>
      <c r="C89" s="5">
        <f t="shared" si="6"/>
        <v>6.4499999999999562E-4</v>
      </c>
      <c r="D89">
        <v>0.82520000000000004</v>
      </c>
      <c r="E89" s="1">
        <f t="shared" si="5"/>
        <v>0.49444444444444452</v>
      </c>
      <c r="F89" s="3">
        <v>46129</v>
      </c>
    </row>
    <row r="90" spans="1:6" x14ac:dyDescent="0.3">
      <c r="A90" t="s">
        <v>53</v>
      </c>
      <c r="B90">
        <v>220</v>
      </c>
      <c r="C90" s="5">
        <f t="shared" si="6"/>
        <v>7.4499999999999567E-4</v>
      </c>
      <c r="D90">
        <v>2.5855999999999999</v>
      </c>
      <c r="E90" s="1">
        <f t="shared" si="5"/>
        <v>0.49513888888888896</v>
      </c>
      <c r="F90" s="3">
        <v>46129</v>
      </c>
    </row>
    <row r="91" spans="1:6" x14ac:dyDescent="0.3">
      <c r="A91" t="s">
        <v>54</v>
      </c>
      <c r="B91">
        <v>220</v>
      </c>
      <c r="C91" s="5">
        <f t="shared" si="6"/>
        <v>1.0199999999999988E-3</v>
      </c>
      <c r="D91">
        <v>1.6728000000000001</v>
      </c>
      <c r="E91" s="1">
        <f t="shared" si="5"/>
        <v>0.49722222222222234</v>
      </c>
      <c r="F91" s="3">
        <v>46129</v>
      </c>
    </row>
    <row r="92" spans="1:6" x14ac:dyDescent="0.3">
      <c r="A92" t="s">
        <v>55</v>
      </c>
      <c r="B92">
        <v>220</v>
      </c>
      <c r="C92" s="5">
        <f t="shared" si="6"/>
        <v>1.0699999999999933E-3</v>
      </c>
      <c r="D92">
        <v>2.8361000000000001</v>
      </c>
      <c r="E92" s="1">
        <f t="shared" si="5"/>
        <v>0.49791666666666679</v>
      </c>
      <c r="F92" s="3">
        <v>46129</v>
      </c>
    </row>
    <row r="93" spans="1:6" x14ac:dyDescent="0.3">
      <c r="A93" t="s">
        <v>49</v>
      </c>
      <c r="B93">
        <v>240</v>
      </c>
      <c r="C93" s="5">
        <f t="shared" si="6"/>
        <v>8.0000000000000069E-4</v>
      </c>
      <c r="D93">
        <v>1.2051000000000001</v>
      </c>
      <c r="E93" s="1">
        <f t="shared" si="5"/>
        <v>0.5048611111111112</v>
      </c>
      <c r="F93" s="3">
        <v>46129</v>
      </c>
    </row>
    <row r="94" spans="1:6" x14ac:dyDescent="0.3">
      <c r="A94" t="s">
        <v>50</v>
      </c>
      <c r="B94">
        <v>240</v>
      </c>
      <c r="C94" s="5">
        <f t="shared" si="6"/>
        <v>3.9999999999998923E-4</v>
      </c>
      <c r="D94">
        <v>1.0555000000000001</v>
      </c>
      <c r="E94" s="1">
        <f t="shared" si="5"/>
        <v>0.50625000000000009</v>
      </c>
      <c r="F94" s="3">
        <v>46129</v>
      </c>
    </row>
    <row r="95" spans="1:6" x14ac:dyDescent="0.3">
      <c r="A95" t="s">
        <v>51</v>
      </c>
      <c r="B95">
        <v>240</v>
      </c>
      <c r="C95" s="5">
        <f t="shared" si="6"/>
        <v>9.9000000000000195E-4</v>
      </c>
      <c r="D95">
        <v>2.9584999999999999</v>
      </c>
      <c r="E95" s="1">
        <f t="shared" si="5"/>
        <v>0.50694444444444453</v>
      </c>
      <c r="F95" s="3">
        <v>46129</v>
      </c>
    </row>
    <row r="96" spans="1:6" x14ac:dyDescent="0.3">
      <c r="A96" t="s">
        <v>52</v>
      </c>
      <c r="B96">
        <v>240</v>
      </c>
      <c r="C96" s="5">
        <f t="shared" si="6"/>
        <v>6.7000000000000393E-4</v>
      </c>
      <c r="D96">
        <v>0.81179999999999997</v>
      </c>
      <c r="E96" s="1">
        <f t="shared" si="5"/>
        <v>0.50833333333333341</v>
      </c>
      <c r="F96" s="3">
        <v>46129</v>
      </c>
    </row>
    <row r="97" spans="1:6" x14ac:dyDescent="0.3">
      <c r="A97" t="s">
        <v>53</v>
      </c>
      <c r="B97">
        <v>240</v>
      </c>
      <c r="C97" s="5">
        <f t="shared" si="6"/>
        <v>7.5499999999999461E-4</v>
      </c>
      <c r="D97">
        <v>2.5705</v>
      </c>
      <c r="E97" s="1">
        <f t="shared" si="5"/>
        <v>0.50902777777777786</v>
      </c>
      <c r="F97" s="3">
        <v>46129</v>
      </c>
    </row>
    <row r="98" spans="1:6" x14ac:dyDescent="0.3">
      <c r="A98" t="s">
        <v>54</v>
      </c>
      <c r="B98">
        <v>240</v>
      </c>
      <c r="C98" s="5">
        <f t="shared" si="6"/>
        <v>8.8000000000000296E-4</v>
      </c>
      <c r="D98">
        <v>1.6552</v>
      </c>
      <c r="E98" s="1">
        <f t="shared" si="5"/>
        <v>0.51111111111111118</v>
      </c>
      <c r="F98" s="3">
        <v>46129</v>
      </c>
    </row>
    <row r="99" spans="1:6" x14ac:dyDescent="0.3">
      <c r="A99" t="s">
        <v>55</v>
      </c>
      <c r="B99">
        <v>240</v>
      </c>
      <c r="C99" s="5">
        <f t="shared" si="6"/>
        <v>9.1499999999999915E-4</v>
      </c>
      <c r="D99">
        <v>2.8178000000000001</v>
      </c>
      <c r="E99" s="1">
        <f t="shared" si="5"/>
        <v>0.51180555555555562</v>
      </c>
      <c r="F99" s="3">
        <v>46129</v>
      </c>
    </row>
    <row r="100" spans="1:6" x14ac:dyDescent="0.3">
      <c r="A100" t="s">
        <v>49</v>
      </c>
      <c r="B100">
        <v>260</v>
      </c>
      <c r="C100" s="5">
        <f t="shared" si="6"/>
        <v>8.0999999999999963E-4</v>
      </c>
      <c r="D100">
        <v>1.1889000000000001</v>
      </c>
      <c r="E100" s="1">
        <f t="shared" si="5"/>
        <v>0.51875000000000004</v>
      </c>
      <c r="F100" s="3">
        <v>46129</v>
      </c>
    </row>
    <row r="101" spans="1:6" x14ac:dyDescent="0.3">
      <c r="A101" t="s">
        <v>50</v>
      </c>
      <c r="B101">
        <v>260</v>
      </c>
      <c r="C101" s="5">
        <f t="shared" si="6"/>
        <v>3.8000000000000257E-4</v>
      </c>
      <c r="D101">
        <v>1.0479000000000001</v>
      </c>
      <c r="E101" s="1">
        <f t="shared" si="5"/>
        <v>0.52013888888888893</v>
      </c>
      <c r="F101" s="3">
        <v>46129</v>
      </c>
    </row>
    <row r="102" spans="1:6" x14ac:dyDescent="0.3">
      <c r="A102" t="s">
        <v>51</v>
      </c>
      <c r="B102">
        <v>260</v>
      </c>
      <c r="C102" s="5">
        <f t="shared" si="6"/>
        <v>9.4499999999999587E-4</v>
      </c>
      <c r="D102">
        <v>2.9396</v>
      </c>
      <c r="E102" s="1">
        <f t="shared" si="5"/>
        <v>0.52083333333333337</v>
      </c>
      <c r="F102" s="3">
        <v>46129</v>
      </c>
    </row>
    <row r="103" spans="1:6" x14ac:dyDescent="0.3">
      <c r="A103" t="s">
        <v>52</v>
      </c>
      <c r="B103">
        <v>260</v>
      </c>
      <c r="C103" s="5">
        <f t="shared" si="6"/>
        <v>5.7999999999999718E-4</v>
      </c>
      <c r="D103">
        <v>0.80020000000000002</v>
      </c>
      <c r="E103" s="1">
        <f t="shared" si="5"/>
        <v>0.52222222222222225</v>
      </c>
      <c r="F103" s="3">
        <v>46129</v>
      </c>
    </row>
    <row r="104" spans="1:6" x14ac:dyDescent="0.3">
      <c r="A104" t="s">
        <v>53</v>
      </c>
      <c r="B104">
        <v>260</v>
      </c>
      <c r="C104" s="5">
        <f t="shared" si="6"/>
        <v>6.3500000000000774E-4</v>
      </c>
      <c r="D104">
        <v>2.5577999999999999</v>
      </c>
      <c r="E104" s="1">
        <f t="shared" si="5"/>
        <v>0.5229166666666667</v>
      </c>
      <c r="F104" s="3">
        <v>46129</v>
      </c>
    </row>
    <row r="105" spans="1:6" x14ac:dyDescent="0.3">
      <c r="A105" t="s">
        <v>54</v>
      </c>
      <c r="B105">
        <v>260</v>
      </c>
      <c r="C105" s="5">
        <f t="shared" si="6"/>
        <v>1.0099999999999998E-3</v>
      </c>
      <c r="D105">
        <v>1.635</v>
      </c>
      <c r="E105" s="1">
        <f t="shared" si="5"/>
        <v>0.52500000000000002</v>
      </c>
      <c r="F105" s="3">
        <v>46129</v>
      </c>
    </row>
    <row r="106" spans="1:6" x14ac:dyDescent="0.3">
      <c r="A106" t="s">
        <v>55</v>
      </c>
      <c r="B106">
        <v>260</v>
      </c>
      <c r="C106" s="5">
        <f t="shared" si="6"/>
        <v>9.7000000000000417E-4</v>
      </c>
      <c r="D106">
        <v>2.7984</v>
      </c>
      <c r="E106" s="1">
        <f t="shared" si="5"/>
        <v>0.52569444444444446</v>
      </c>
      <c r="F106" s="3">
        <v>46129</v>
      </c>
    </row>
    <row r="107" spans="1:6" x14ac:dyDescent="0.3">
      <c r="A107" t="s">
        <v>49</v>
      </c>
      <c r="B107">
        <v>280</v>
      </c>
      <c r="C107" s="5">
        <f t="shared" si="6"/>
        <v>7.8500000000000238E-4</v>
      </c>
      <c r="D107">
        <v>1.1732</v>
      </c>
      <c r="E107" s="1">
        <f t="shared" si="5"/>
        <v>0.53263888888888888</v>
      </c>
      <c r="F107" s="3">
        <v>46129</v>
      </c>
    </row>
    <row r="108" spans="1:6" x14ac:dyDescent="0.3">
      <c r="A108" t="s">
        <v>50</v>
      </c>
      <c r="B108">
        <v>280</v>
      </c>
      <c r="C108" s="5">
        <f t="shared" si="6"/>
        <v>3.6000000000000474E-4</v>
      </c>
      <c r="D108">
        <v>1.0407</v>
      </c>
      <c r="E108" s="1">
        <f t="shared" si="5"/>
        <v>0.53402777777777777</v>
      </c>
      <c r="F108" s="3">
        <v>46129</v>
      </c>
    </row>
    <row r="109" spans="1:6" x14ac:dyDescent="0.3">
      <c r="A109" t="s">
        <v>51</v>
      </c>
      <c r="B109">
        <v>280</v>
      </c>
      <c r="C109" s="5">
        <f t="shared" si="6"/>
        <v>8.2999999999999741E-4</v>
      </c>
      <c r="D109">
        <v>2.923</v>
      </c>
      <c r="E109" s="1">
        <f t="shared" si="5"/>
        <v>0.53472222222222221</v>
      </c>
      <c r="F109" s="3">
        <v>46129</v>
      </c>
    </row>
    <row r="110" spans="1:6" x14ac:dyDescent="0.3">
      <c r="A110" t="s">
        <v>52</v>
      </c>
      <c r="B110">
        <v>280</v>
      </c>
      <c r="C110" s="5">
        <f t="shared" si="6"/>
        <v>6.2500000000000337E-4</v>
      </c>
      <c r="D110">
        <v>0.78769999999999996</v>
      </c>
      <c r="E110" s="1">
        <f t="shared" si="5"/>
        <v>0.53611111111111109</v>
      </c>
      <c r="F110" s="3">
        <v>46129</v>
      </c>
    </row>
    <row r="111" spans="1:6" x14ac:dyDescent="0.3">
      <c r="A111" t="s">
        <v>53</v>
      </c>
      <c r="B111">
        <v>280</v>
      </c>
      <c r="C111" s="5">
        <f t="shared" si="6"/>
        <v>7.4999999999998397E-4</v>
      </c>
      <c r="D111">
        <v>2.5428000000000002</v>
      </c>
      <c r="E111" s="1">
        <f t="shared" si="5"/>
        <v>0.53680555555555554</v>
      </c>
      <c r="F111" s="3">
        <v>46129</v>
      </c>
    </row>
    <row r="112" spans="1:6" x14ac:dyDescent="0.3">
      <c r="A112" t="s">
        <v>54</v>
      </c>
      <c r="B112">
        <v>280</v>
      </c>
      <c r="C112" s="5">
        <f t="shared" si="6"/>
        <v>9.80000000000003E-4</v>
      </c>
      <c r="D112">
        <v>1.6153999999999999</v>
      </c>
      <c r="E112" s="1">
        <f t="shared" si="5"/>
        <v>0.53888888888888886</v>
      </c>
      <c r="F112" s="3">
        <v>46129</v>
      </c>
    </row>
    <row r="113" spans="1:6" x14ac:dyDescent="0.3">
      <c r="A113" t="s">
        <v>55</v>
      </c>
      <c r="B113">
        <v>280</v>
      </c>
      <c r="C113" s="5">
        <f t="shared" si="6"/>
        <v>1.1349999999999971E-3</v>
      </c>
      <c r="D113">
        <v>2.7757000000000001</v>
      </c>
      <c r="E113" s="1">
        <f t="shared" si="5"/>
        <v>0.5395833333333333</v>
      </c>
      <c r="F113" s="3">
        <v>46129</v>
      </c>
    </row>
    <row r="114" spans="1:6" x14ac:dyDescent="0.3">
      <c r="A114" t="s">
        <v>49</v>
      </c>
      <c r="B114">
        <v>300</v>
      </c>
      <c r="C114" s="5">
        <f t="shared" si="6"/>
        <v>7.3999999999999619E-4</v>
      </c>
      <c r="D114">
        <v>1.1584000000000001</v>
      </c>
      <c r="E114" s="1">
        <f t="shared" si="5"/>
        <v>0.54652777777777772</v>
      </c>
      <c r="F114" s="3">
        <v>46129</v>
      </c>
    </row>
    <row r="115" spans="1:6" x14ac:dyDescent="0.3">
      <c r="A115" t="s">
        <v>50</v>
      </c>
      <c r="B115">
        <v>300</v>
      </c>
      <c r="C115" s="5">
        <f t="shared" si="6"/>
        <v>3.9500000000000093E-4</v>
      </c>
      <c r="D115">
        <v>1.0327999999999999</v>
      </c>
      <c r="E115" s="1">
        <f t="shared" si="5"/>
        <v>0.54791666666666661</v>
      </c>
      <c r="F115" s="3">
        <v>46129</v>
      </c>
    </row>
    <row r="116" spans="1:6" x14ac:dyDescent="0.3">
      <c r="A116" t="s">
        <v>51</v>
      </c>
      <c r="B116">
        <v>300</v>
      </c>
      <c r="C116" s="5">
        <f t="shared" si="6"/>
        <v>9.2499999999999809E-4</v>
      </c>
      <c r="D116">
        <v>2.9045000000000001</v>
      </c>
      <c r="E116" s="1">
        <f t="shared" si="5"/>
        <v>0.54861111111111105</v>
      </c>
      <c r="F116" s="3">
        <v>46129</v>
      </c>
    </row>
    <row r="117" spans="1:6" x14ac:dyDescent="0.3">
      <c r="A117" t="s">
        <v>52</v>
      </c>
      <c r="B117">
        <v>300</v>
      </c>
      <c r="C117" s="5">
        <f t="shared" si="6"/>
        <v>6.0999999999999943E-4</v>
      </c>
      <c r="D117">
        <v>0.77549999999999997</v>
      </c>
      <c r="E117" s="1">
        <f t="shared" si="5"/>
        <v>0.54999999999999993</v>
      </c>
      <c r="F117" s="3">
        <v>46129</v>
      </c>
    </row>
    <row r="118" spans="1:6" x14ac:dyDescent="0.3">
      <c r="A118" t="s">
        <v>53</v>
      </c>
      <c r="B118">
        <v>300</v>
      </c>
      <c r="C118" s="5">
        <f t="shared" si="6"/>
        <v>7.4500000000001789E-4</v>
      </c>
      <c r="D118">
        <v>2.5278999999999998</v>
      </c>
      <c r="E118" s="1">
        <f t="shared" si="5"/>
        <v>0.55069444444444438</v>
      </c>
      <c r="F118" s="3">
        <v>46129</v>
      </c>
    </row>
    <row r="119" spans="1:6" x14ac:dyDescent="0.3">
      <c r="A119" t="s">
        <v>54</v>
      </c>
      <c r="B119">
        <v>300</v>
      </c>
      <c r="C119" s="5">
        <f t="shared" si="6"/>
        <v>9.6499999999999364E-4</v>
      </c>
      <c r="D119">
        <v>1.5961000000000001</v>
      </c>
      <c r="E119" s="1">
        <f t="shared" si="5"/>
        <v>0.5527777777777777</v>
      </c>
      <c r="F119" s="3">
        <v>46129</v>
      </c>
    </row>
    <row r="120" spans="1:6" x14ac:dyDescent="0.3">
      <c r="A120" t="s">
        <v>55</v>
      </c>
      <c r="B120">
        <v>300</v>
      </c>
      <c r="C120" s="5">
        <f t="shared" si="6"/>
        <v>8.3500000000000794E-4</v>
      </c>
      <c r="D120">
        <v>2.7589999999999999</v>
      </c>
      <c r="E120" s="1">
        <f t="shared" si="5"/>
        <v>0.55347222222222214</v>
      </c>
      <c r="F120" s="3">
        <v>46129</v>
      </c>
    </row>
    <row r="121" spans="1:6" x14ac:dyDescent="0.3">
      <c r="E121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6ED35-F862-43B2-BC01-754C9F9558F4}">
  <dimension ref="A1:I123"/>
  <sheetViews>
    <sheetView workbookViewId="0">
      <selection activeCell="A9" sqref="A9:F99"/>
    </sheetView>
  </sheetViews>
  <sheetFormatPr baseColWidth="10" defaultRowHeight="14.4" x14ac:dyDescent="0.3"/>
  <sheetData>
    <row r="1" spans="1:6" x14ac:dyDescent="0.3">
      <c r="A1" t="s">
        <v>24</v>
      </c>
      <c r="B1" t="s">
        <v>32</v>
      </c>
      <c r="C1" t="s">
        <v>31</v>
      </c>
      <c r="D1" t="s">
        <v>30</v>
      </c>
      <c r="E1" t="s">
        <v>8</v>
      </c>
      <c r="F1" t="s">
        <v>20</v>
      </c>
    </row>
    <row r="2" spans="1:6" x14ac:dyDescent="0.3">
      <c r="A2" t="s">
        <v>33</v>
      </c>
      <c r="B2" t="s">
        <v>11</v>
      </c>
      <c r="D2">
        <v>2.4735999999999998</v>
      </c>
      <c r="E2" s="1">
        <v>0.31388888888888888</v>
      </c>
      <c r="F2" s="3">
        <v>46126</v>
      </c>
    </row>
    <row r="3" spans="1:6" x14ac:dyDescent="0.3">
      <c r="A3" t="s">
        <v>25</v>
      </c>
      <c r="B3" t="s">
        <v>11</v>
      </c>
      <c r="D3">
        <v>2.8588</v>
      </c>
      <c r="E3" s="1">
        <v>0.31597222222222221</v>
      </c>
      <c r="F3" s="3">
        <v>46126</v>
      </c>
    </row>
    <row r="4" spans="1:6" x14ac:dyDescent="0.3">
      <c r="A4" t="s">
        <v>26</v>
      </c>
      <c r="B4" t="s">
        <v>11</v>
      </c>
      <c r="D4">
        <v>2.5392999999999999</v>
      </c>
      <c r="E4" s="1">
        <v>0.31805555555555554</v>
      </c>
      <c r="F4" s="3">
        <v>46126</v>
      </c>
    </row>
    <row r="5" spans="1:6" x14ac:dyDescent="0.3">
      <c r="A5" t="s">
        <v>27</v>
      </c>
      <c r="B5" t="s">
        <v>11</v>
      </c>
      <c r="D5">
        <v>3.2004999999999999</v>
      </c>
      <c r="E5" s="1">
        <v>0.31874999999999998</v>
      </c>
      <c r="F5" s="3">
        <v>46126</v>
      </c>
    </row>
    <row r="6" spans="1:6" x14ac:dyDescent="0.3">
      <c r="A6" t="s">
        <v>28</v>
      </c>
      <c r="B6" t="s">
        <v>11</v>
      </c>
      <c r="D6">
        <v>2.6486000000000001</v>
      </c>
      <c r="E6" s="1">
        <v>0.32013888888888886</v>
      </c>
      <c r="F6" s="3">
        <v>46126</v>
      </c>
    </row>
    <row r="7" spans="1:6" x14ac:dyDescent="0.3">
      <c r="A7" t="s">
        <v>2</v>
      </c>
      <c r="B7" t="s">
        <v>11</v>
      </c>
      <c r="D7">
        <v>3.5049000000000001</v>
      </c>
      <c r="E7" s="1">
        <v>0.32083333333333336</v>
      </c>
      <c r="F7" s="3">
        <v>46126</v>
      </c>
    </row>
    <row r="8" spans="1:6" x14ac:dyDescent="0.3">
      <c r="A8" t="s">
        <v>29</v>
      </c>
      <c r="B8" t="s">
        <v>11</v>
      </c>
      <c r="D8">
        <v>2.1699000000000002</v>
      </c>
      <c r="E8" s="1">
        <v>0.3215277777777778</v>
      </c>
      <c r="F8" s="3">
        <v>46126</v>
      </c>
    </row>
    <row r="9" spans="1:6" x14ac:dyDescent="0.3">
      <c r="A9" t="s">
        <v>33</v>
      </c>
      <c r="B9">
        <v>0</v>
      </c>
      <c r="C9" s="2">
        <f t="shared" ref="C9:C50" si="0">(D2-D9)/20</f>
        <v>1.969999999999983E-3</v>
      </c>
      <c r="D9">
        <v>2.4342000000000001</v>
      </c>
      <c r="E9" s="1">
        <v>0.3263888888888889</v>
      </c>
      <c r="F9" s="3">
        <v>46126</v>
      </c>
    </row>
    <row r="10" spans="1:6" x14ac:dyDescent="0.3">
      <c r="A10" t="s">
        <v>25</v>
      </c>
      <c r="B10">
        <v>0</v>
      </c>
      <c r="C10" s="2">
        <f t="shared" si="0"/>
        <v>1.960000000000006E-3</v>
      </c>
      <c r="D10">
        <v>2.8195999999999999</v>
      </c>
      <c r="E10" s="1">
        <v>0.32708333333333334</v>
      </c>
      <c r="F10" s="3">
        <v>46126</v>
      </c>
    </row>
    <row r="11" spans="1:6" x14ac:dyDescent="0.3">
      <c r="A11" t="s">
        <v>26</v>
      </c>
      <c r="B11">
        <v>0</v>
      </c>
      <c r="C11" s="2">
        <f t="shared" si="0"/>
        <v>2.0049999999999903E-3</v>
      </c>
      <c r="D11">
        <v>2.4992000000000001</v>
      </c>
      <c r="E11" s="1">
        <v>0.32708333333333334</v>
      </c>
      <c r="F11" s="3">
        <v>46126</v>
      </c>
    </row>
    <row r="12" spans="1:6" x14ac:dyDescent="0.3">
      <c r="A12" t="s">
        <v>27</v>
      </c>
      <c r="B12">
        <v>0</v>
      </c>
      <c r="C12" s="2">
        <f t="shared" si="0"/>
        <v>3.7499999999999198E-4</v>
      </c>
      <c r="D12">
        <v>3.1930000000000001</v>
      </c>
      <c r="E12" s="1">
        <v>0.32777777777777778</v>
      </c>
      <c r="F12" s="3">
        <v>46126</v>
      </c>
    </row>
    <row r="13" spans="1:6" x14ac:dyDescent="0.3">
      <c r="A13" t="s">
        <v>28</v>
      </c>
      <c r="B13">
        <v>0</v>
      </c>
      <c r="C13" s="2">
        <f t="shared" si="0"/>
        <v>1.2150000000000106E-3</v>
      </c>
      <c r="D13">
        <v>2.6242999999999999</v>
      </c>
      <c r="E13" s="1">
        <v>0.32777777777777778</v>
      </c>
      <c r="F13" s="3">
        <v>46126</v>
      </c>
    </row>
    <row r="14" spans="1:6" x14ac:dyDescent="0.3">
      <c r="A14" t="s">
        <v>2</v>
      </c>
      <c r="B14">
        <v>0</v>
      </c>
      <c r="C14" s="2">
        <f t="shared" si="0"/>
        <v>6.7000000000001498E-4</v>
      </c>
      <c r="D14">
        <v>3.4914999999999998</v>
      </c>
      <c r="E14" s="1">
        <v>0.32777777777777778</v>
      </c>
      <c r="F14" s="3">
        <v>46126</v>
      </c>
    </row>
    <row r="15" spans="1:6" x14ac:dyDescent="0.3">
      <c r="A15" t="s">
        <v>29</v>
      </c>
      <c r="B15">
        <v>0</v>
      </c>
      <c r="C15" s="2">
        <f t="shared" si="0"/>
        <v>7.7000000000000397E-4</v>
      </c>
      <c r="D15">
        <v>2.1545000000000001</v>
      </c>
      <c r="E15" s="1">
        <v>0.32847222222222222</v>
      </c>
      <c r="F15" s="3">
        <v>46126</v>
      </c>
    </row>
    <row r="16" spans="1:6" x14ac:dyDescent="0.3">
      <c r="A16" t="s">
        <v>33</v>
      </c>
      <c r="B16">
        <v>20</v>
      </c>
      <c r="C16" s="2">
        <f t="shared" si="0"/>
        <v>1.6600000000000169E-3</v>
      </c>
      <c r="D16">
        <v>2.4009999999999998</v>
      </c>
      <c r="E16" s="1">
        <f>E9+(20/1440)</f>
        <v>0.34027777777777779</v>
      </c>
      <c r="F16" s="3">
        <v>46126</v>
      </c>
    </row>
    <row r="17" spans="1:9" x14ac:dyDescent="0.3">
      <c r="A17" t="s">
        <v>25</v>
      </c>
      <c r="B17">
        <v>20</v>
      </c>
      <c r="C17" s="2">
        <f t="shared" si="0"/>
        <v>1.8499999999999962E-3</v>
      </c>
      <c r="D17">
        <v>2.7826</v>
      </c>
      <c r="E17" s="1">
        <f t="shared" ref="E17:E80" si="1">E10+(20/1440)</f>
        <v>0.34097222222222223</v>
      </c>
      <c r="F17" s="3">
        <v>46126</v>
      </c>
    </row>
    <row r="18" spans="1:9" x14ac:dyDescent="0.3">
      <c r="A18" t="s">
        <v>26</v>
      </c>
      <c r="B18">
        <v>20</v>
      </c>
      <c r="C18" s="2">
        <f t="shared" si="0"/>
        <v>2.0100000000000005E-3</v>
      </c>
      <c r="D18">
        <v>2.4590000000000001</v>
      </c>
      <c r="E18" s="1">
        <f t="shared" si="1"/>
        <v>0.34097222222222223</v>
      </c>
      <c r="F18" s="3">
        <v>46126</v>
      </c>
      <c r="I18" t="s">
        <v>191</v>
      </c>
    </row>
    <row r="19" spans="1:9" x14ac:dyDescent="0.3">
      <c r="A19" t="s">
        <v>27</v>
      </c>
      <c r="B19">
        <v>20</v>
      </c>
      <c r="C19" s="2">
        <f t="shared" si="0"/>
        <v>1.2599999999999944E-3</v>
      </c>
      <c r="D19">
        <v>3.1678000000000002</v>
      </c>
      <c r="E19" s="1">
        <f t="shared" si="1"/>
        <v>0.34166666666666667</v>
      </c>
      <c r="F19" s="3">
        <v>46126</v>
      </c>
    </row>
    <row r="20" spans="1:9" x14ac:dyDescent="0.3">
      <c r="A20" t="s">
        <v>28</v>
      </c>
      <c r="B20">
        <v>20</v>
      </c>
      <c r="C20" s="2">
        <f t="shared" si="0"/>
        <v>2.6249999999999885E-3</v>
      </c>
      <c r="D20">
        <v>2.5718000000000001</v>
      </c>
      <c r="E20" s="1">
        <f t="shared" si="1"/>
        <v>0.34166666666666667</v>
      </c>
      <c r="F20" s="3">
        <v>46126</v>
      </c>
    </row>
    <row r="21" spans="1:9" x14ac:dyDescent="0.3">
      <c r="A21" t="s">
        <v>2</v>
      </c>
      <c r="B21">
        <v>20</v>
      </c>
      <c r="C21" s="2">
        <f t="shared" si="0"/>
        <v>1.794999999999991E-3</v>
      </c>
      <c r="D21">
        <v>3.4556</v>
      </c>
      <c r="E21" s="1">
        <f t="shared" si="1"/>
        <v>0.34166666666666667</v>
      </c>
      <c r="F21" s="3">
        <v>46126</v>
      </c>
    </row>
    <row r="22" spans="1:9" x14ac:dyDescent="0.3">
      <c r="A22" t="s">
        <v>29</v>
      </c>
      <c r="B22">
        <v>20</v>
      </c>
      <c r="C22" s="2">
        <f t="shared" si="0"/>
        <v>1.8100000000000004E-3</v>
      </c>
      <c r="D22">
        <v>2.1183000000000001</v>
      </c>
      <c r="E22" s="1">
        <f t="shared" si="1"/>
        <v>0.34236111111111112</v>
      </c>
      <c r="F22" s="3">
        <v>46126</v>
      </c>
    </row>
    <row r="23" spans="1:9" x14ac:dyDescent="0.3">
      <c r="A23" t="s">
        <v>33</v>
      </c>
      <c r="B23">
        <v>40</v>
      </c>
      <c r="C23" s="2">
        <f t="shared" si="0"/>
        <v>1.1299999999999865E-3</v>
      </c>
      <c r="D23">
        <v>2.3784000000000001</v>
      </c>
      <c r="E23" s="1">
        <f t="shared" si="1"/>
        <v>0.35416666666666669</v>
      </c>
      <c r="F23" s="3">
        <v>46126</v>
      </c>
    </row>
    <row r="24" spans="1:9" x14ac:dyDescent="0.3">
      <c r="A24" t="s">
        <v>25</v>
      </c>
      <c r="B24">
        <v>40</v>
      </c>
      <c r="C24" s="2">
        <f t="shared" si="0"/>
        <v>1.1749999999999927E-3</v>
      </c>
      <c r="D24">
        <v>2.7591000000000001</v>
      </c>
      <c r="E24" s="1">
        <f t="shared" si="1"/>
        <v>0.35486111111111113</v>
      </c>
      <c r="F24" s="3">
        <v>46126</v>
      </c>
    </row>
    <row r="25" spans="1:9" x14ac:dyDescent="0.3">
      <c r="A25" t="s">
        <v>26</v>
      </c>
      <c r="B25">
        <v>40</v>
      </c>
      <c r="C25" s="2">
        <f t="shared" si="0"/>
        <v>1.1400000000000078E-3</v>
      </c>
      <c r="D25">
        <v>2.4361999999999999</v>
      </c>
      <c r="E25" s="1">
        <f t="shared" si="1"/>
        <v>0.35486111111111113</v>
      </c>
      <c r="F25" s="3">
        <v>46126</v>
      </c>
    </row>
    <row r="26" spans="1:9" x14ac:dyDescent="0.3">
      <c r="A26" t="s">
        <v>27</v>
      </c>
      <c r="B26">
        <v>40</v>
      </c>
      <c r="C26" s="2">
        <f t="shared" si="0"/>
        <v>1.0000000000000009E-3</v>
      </c>
      <c r="D26">
        <v>3.1478000000000002</v>
      </c>
      <c r="E26" s="1">
        <f t="shared" si="1"/>
        <v>0.35555555555555557</v>
      </c>
      <c r="F26" s="3">
        <v>46126</v>
      </c>
    </row>
    <row r="27" spans="1:9" x14ac:dyDescent="0.3">
      <c r="A27" t="s">
        <v>28</v>
      </c>
      <c r="B27">
        <v>40</v>
      </c>
      <c r="C27" s="2">
        <f t="shared" si="0"/>
        <v>3.0599999999999959E-3</v>
      </c>
      <c r="D27">
        <v>2.5106000000000002</v>
      </c>
      <c r="E27" s="1">
        <f t="shared" si="1"/>
        <v>0.35555555555555557</v>
      </c>
      <c r="F27" s="3">
        <v>46126</v>
      </c>
    </row>
    <row r="28" spans="1:9" x14ac:dyDescent="0.3">
      <c r="A28" t="s">
        <v>2</v>
      </c>
      <c r="B28">
        <v>40</v>
      </c>
      <c r="C28" s="2">
        <f t="shared" si="0"/>
        <v>1.3349999999999972E-3</v>
      </c>
      <c r="D28">
        <v>3.4289000000000001</v>
      </c>
      <c r="E28" s="1">
        <f t="shared" si="1"/>
        <v>0.35555555555555557</v>
      </c>
      <c r="F28" s="3">
        <v>46126</v>
      </c>
    </row>
    <row r="29" spans="1:9" x14ac:dyDescent="0.3">
      <c r="A29" t="s">
        <v>29</v>
      </c>
      <c r="B29">
        <v>40</v>
      </c>
      <c r="C29" s="2">
        <f t="shared" si="0"/>
        <v>1.5500000000000069E-3</v>
      </c>
      <c r="D29">
        <v>2.0872999999999999</v>
      </c>
      <c r="E29" s="1">
        <f t="shared" si="1"/>
        <v>0.35625000000000001</v>
      </c>
      <c r="F29" s="3">
        <v>46126</v>
      </c>
    </row>
    <row r="30" spans="1:9" x14ac:dyDescent="0.3">
      <c r="A30" t="s">
        <v>33</v>
      </c>
      <c r="B30">
        <v>60</v>
      </c>
      <c r="C30" s="2">
        <f t="shared" si="0"/>
        <v>1.3149999999999995E-3</v>
      </c>
      <c r="D30">
        <v>2.3521000000000001</v>
      </c>
      <c r="E30" s="1">
        <f t="shared" si="1"/>
        <v>0.36805555555555558</v>
      </c>
      <c r="F30" s="3">
        <v>46126</v>
      </c>
    </row>
    <row r="31" spans="1:9" x14ac:dyDescent="0.3">
      <c r="A31" t="s">
        <v>25</v>
      </c>
      <c r="B31">
        <v>60</v>
      </c>
      <c r="C31" s="2">
        <f t="shared" si="0"/>
        <v>1.1249999999999982E-3</v>
      </c>
      <c r="D31">
        <v>2.7366000000000001</v>
      </c>
      <c r="E31" s="1">
        <f t="shared" si="1"/>
        <v>0.36875000000000002</v>
      </c>
      <c r="F31" s="3">
        <v>46126</v>
      </c>
    </row>
    <row r="32" spans="1:9" x14ac:dyDescent="0.3">
      <c r="A32" t="s">
        <v>26</v>
      </c>
      <c r="B32">
        <v>60</v>
      </c>
      <c r="C32" s="2">
        <f t="shared" si="0"/>
        <v>1.2449999999999851E-3</v>
      </c>
      <c r="D32">
        <v>2.4113000000000002</v>
      </c>
      <c r="E32" s="1">
        <f t="shared" si="1"/>
        <v>0.36875000000000002</v>
      </c>
      <c r="F32" s="3">
        <v>46126</v>
      </c>
    </row>
    <row r="33" spans="1:6" x14ac:dyDescent="0.3">
      <c r="A33" t="s">
        <v>27</v>
      </c>
      <c r="B33">
        <v>60</v>
      </c>
      <c r="C33" s="2">
        <f t="shared" si="0"/>
        <v>9.9500000000001258E-4</v>
      </c>
      <c r="D33">
        <v>3.1278999999999999</v>
      </c>
      <c r="E33" s="1">
        <f t="shared" si="1"/>
        <v>0.36944444444444446</v>
      </c>
      <c r="F33" s="3">
        <v>46126</v>
      </c>
    </row>
    <row r="34" spans="1:6" x14ac:dyDescent="0.3">
      <c r="A34" t="s">
        <v>28</v>
      </c>
      <c r="B34">
        <v>60</v>
      </c>
      <c r="C34" s="2">
        <f t="shared" si="0"/>
        <v>2.9400000000000094E-3</v>
      </c>
      <c r="D34">
        <v>2.4518</v>
      </c>
      <c r="E34" s="1">
        <f t="shared" si="1"/>
        <v>0.36944444444444446</v>
      </c>
      <c r="F34" s="3">
        <v>46126</v>
      </c>
    </row>
    <row r="35" spans="1:6" x14ac:dyDescent="0.3">
      <c r="A35" t="s">
        <v>2</v>
      </c>
      <c r="B35">
        <v>60</v>
      </c>
      <c r="C35" s="2">
        <f t="shared" si="0"/>
        <v>1.3549999999999951E-3</v>
      </c>
      <c r="D35">
        <v>3.4018000000000002</v>
      </c>
      <c r="E35" s="1">
        <f t="shared" si="1"/>
        <v>0.36944444444444446</v>
      </c>
      <c r="F35" s="3">
        <v>46126</v>
      </c>
    </row>
    <row r="36" spans="1:6" x14ac:dyDescent="0.3">
      <c r="A36" t="s">
        <v>29</v>
      </c>
      <c r="B36">
        <v>60</v>
      </c>
      <c r="C36" s="2">
        <f t="shared" si="0"/>
        <v>1.8000000000000017E-3</v>
      </c>
      <c r="D36">
        <v>2.0512999999999999</v>
      </c>
      <c r="E36" s="1">
        <f t="shared" si="1"/>
        <v>0.37013888888888891</v>
      </c>
      <c r="F36" s="3">
        <v>46126</v>
      </c>
    </row>
    <row r="37" spans="1:6" x14ac:dyDescent="0.3">
      <c r="A37" t="s">
        <v>33</v>
      </c>
      <c r="B37">
        <v>80</v>
      </c>
      <c r="C37" s="2">
        <f t="shared" si="0"/>
        <v>1.2099999999999999E-3</v>
      </c>
      <c r="D37">
        <v>2.3279000000000001</v>
      </c>
      <c r="E37" s="1">
        <f t="shared" si="1"/>
        <v>0.38194444444444448</v>
      </c>
      <c r="F37" s="3">
        <v>46126</v>
      </c>
    </row>
    <row r="38" spans="1:6" x14ac:dyDescent="0.3">
      <c r="A38" t="s">
        <v>25</v>
      </c>
      <c r="B38">
        <v>80</v>
      </c>
      <c r="C38" s="2">
        <f t="shared" si="0"/>
        <v>1.0800000000000143E-3</v>
      </c>
      <c r="D38">
        <v>2.7149999999999999</v>
      </c>
      <c r="E38" s="1">
        <f t="shared" si="1"/>
        <v>0.38263888888888892</v>
      </c>
      <c r="F38" s="3">
        <v>46126</v>
      </c>
    </row>
    <row r="39" spans="1:6" x14ac:dyDescent="0.3">
      <c r="A39" t="s">
        <v>26</v>
      </c>
      <c r="B39">
        <v>80</v>
      </c>
      <c r="C39" s="2">
        <f t="shared" si="0"/>
        <v>1.1800000000000033E-3</v>
      </c>
      <c r="D39">
        <v>2.3877000000000002</v>
      </c>
      <c r="E39" s="1">
        <f t="shared" si="1"/>
        <v>0.38263888888888892</v>
      </c>
      <c r="F39" s="3">
        <v>46126</v>
      </c>
    </row>
    <row r="40" spans="1:6" x14ac:dyDescent="0.3">
      <c r="A40" t="s">
        <v>27</v>
      </c>
      <c r="B40">
        <v>80</v>
      </c>
      <c r="C40" s="2">
        <f t="shared" si="0"/>
        <v>1.3499999999999845E-3</v>
      </c>
      <c r="D40">
        <v>3.1009000000000002</v>
      </c>
      <c r="E40" s="1">
        <f t="shared" si="1"/>
        <v>0.38333333333333336</v>
      </c>
      <c r="F40" s="3">
        <v>46126</v>
      </c>
    </row>
    <row r="41" spans="1:6" x14ac:dyDescent="0.3">
      <c r="A41" t="s">
        <v>28</v>
      </c>
      <c r="B41">
        <v>80</v>
      </c>
      <c r="C41" s="2">
        <f t="shared" si="0"/>
        <v>1.2350000000000082E-3</v>
      </c>
      <c r="D41">
        <v>2.4270999999999998</v>
      </c>
      <c r="E41" s="1">
        <f t="shared" si="1"/>
        <v>0.38333333333333336</v>
      </c>
      <c r="F41" s="3">
        <v>46126</v>
      </c>
    </row>
    <row r="42" spans="1:6" x14ac:dyDescent="0.3">
      <c r="A42" t="s">
        <v>2</v>
      </c>
      <c r="B42">
        <v>80</v>
      </c>
      <c r="C42" s="2">
        <f t="shared" si="0"/>
        <v>2.3400000000000087E-3</v>
      </c>
      <c r="D42">
        <v>3.355</v>
      </c>
      <c r="E42" s="1">
        <f t="shared" si="1"/>
        <v>0.38333333333333336</v>
      </c>
      <c r="F42" s="3">
        <v>46126</v>
      </c>
    </row>
    <row r="43" spans="1:6" x14ac:dyDescent="0.3">
      <c r="A43" t="s">
        <v>29</v>
      </c>
      <c r="B43">
        <v>80</v>
      </c>
      <c r="C43" s="2">
        <f t="shared" si="0"/>
        <v>1.8249999999999877E-3</v>
      </c>
      <c r="D43">
        <v>2.0148000000000001</v>
      </c>
      <c r="E43" s="1">
        <f t="shared" si="1"/>
        <v>0.3840277777777778</v>
      </c>
      <c r="F43" s="3">
        <v>46126</v>
      </c>
    </row>
    <row r="44" spans="1:6" x14ac:dyDescent="0.3">
      <c r="A44" t="s">
        <v>33</v>
      </c>
      <c r="B44">
        <v>100</v>
      </c>
      <c r="C44" s="2">
        <f t="shared" si="0"/>
        <v>1.0050000000000115E-3</v>
      </c>
      <c r="D44">
        <v>2.3077999999999999</v>
      </c>
      <c r="E44" s="1">
        <f t="shared" si="1"/>
        <v>0.39583333333333337</v>
      </c>
      <c r="F44" s="3">
        <v>46126</v>
      </c>
    </row>
    <row r="45" spans="1:6" x14ac:dyDescent="0.3">
      <c r="A45" t="s">
        <v>25</v>
      </c>
      <c r="B45">
        <v>100</v>
      </c>
      <c r="C45" s="2">
        <f t="shared" si="0"/>
        <v>8.9500000000000137E-4</v>
      </c>
      <c r="D45">
        <v>2.6970999999999998</v>
      </c>
      <c r="E45" s="1">
        <f t="shared" si="1"/>
        <v>0.39652777777777781</v>
      </c>
      <c r="F45" s="3">
        <v>46126</v>
      </c>
    </row>
    <row r="46" spans="1:6" x14ac:dyDescent="0.3">
      <c r="A46" t="s">
        <v>26</v>
      </c>
      <c r="B46">
        <v>100</v>
      </c>
      <c r="C46" s="2">
        <f t="shared" si="0"/>
        <v>1.0950000000000016E-3</v>
      </c>
      <c r="D46">
        <v>2.3658000000000001</v>
      </c>
      <c r="E46" s="1">
        <f t="shared" si="1"/>
        <v>0.39652777777777781</v>
      </c>
      <c r="F46" s="3">
        <v>46126</v>
      </c>
    </row>
    <row r="47" spans="1:6" x14ac:dyDescent="0.3">
      <c r="A47" t="s">
        <v>27</v>
      </c>
      <c r="B47">
        <v>100</v>
      </c>
      <c r="C47" s="2">
        <f t="shared" si="0"/>
        <v>1.6600000000000169E-3</v>
      </c>
      <c r="D47">
        <v>3.0676999999999999</v>
      </c>
      <c r="E47" s="1">
        <f t="shared" si="1"/>
        <v>0.39722222222222225</v>
      </c>
      <c r="F47" s="3">
        <v>46126</v>
      </c>
    </row>
    <row r="48" spans="1:6" x14ac:dyDescent="0.3">
      <c r="A48" t="s">
        <v>28</v>
      </c>
      <c r="B48">
        <v>100</v>
      </c>
      <c r="C48" s="2">
        <f t="shared" si="0"/>
        <v>9.0999999999998862E-4</v>
      </c>
      <c r="D48">
        <v>2.4089</v>
      </c>
      <c r="E48" s="1">
        <f t="shared" si="1"/>
        <v>0.39722222222222225</v>
      </c>
      <c r="F48" s="3">
        <v>46126</v>
      </c>
    </row>
    <row r="49" spans="1:6" x14ac:dyDescent="0.3">
      <c r="A49" t="s">
        <v>2</v>
      </c>
      <c r="B49">
        <v>100</v>
      </c>
      <c r="C49" s="2">
        <f t="shared" si="0"/>
        <v>3.2249999999999892E-3</v>
      </c>
      <c r="D49">
        <v>3.2905000000000002</v>
      </c>
      <c r="E49" s="1">
        <f t="shared" si="1"/>
        <v>0.39722222222222225</v>
      </c>
      <c r="F49" s="3">
        <v>46126</v>
      </c>
    </row>
    <row r="50" spans="1:6" x14ac:dyDescent="0.3">
      <c r="A50" t="s">
        <v>29</v>
      </c>
      <c r="B50">
        <v>100</v>
      </c>
      <c r="C50" s="2">
        <f t="shared" si="0"/>
        <v>1.5300000000000092E-3</v>
      </c>
      <c r="D50">
        <v>1.9842</v>
      </c>
      <c r="E50" s="1">
        <f t="shared" si="1"/>
        <v>0.3979166666666667</v>
      </c>
      <c r="F50" s="3">
        <v>46126</v>
      </c>
    </row>
    <row r="51" spans="1:6" x14ac:dyDescent="0.3">
      <c r="A51" t="s">
        <v>33</v>
      </c>
      <c r="B51">
        <v>120</v>
      </c>
      <c r="C51" s="2">
        <f t="shared" ref="C51:C99" si="2">(D44-D51)/20</f>
        <v>9.5999999999998311E-4</v>
      </c>
      <c r="D51">
        <v>2.2886000000000002</v>
      </c>
      <c r="E51" s="1">
        <f t="shared" si="1"/>
        <v>0.40972222222222227</v>
      </c>
      <c r="F51" s="3">
        <v>46126</v>
      </c>
    </row>
    <row r="52" spans="1:6" x14ac:dyDescent="0.3">
      <c r="A52" t="s">
        <v>25</v>
      </c>
      <c r="B52">
        <v>120</v>
      </c>
      <c r="C52" s="2">
        <f t="shared" si="2"/>
        <v>9.5999999999998311E-4</v>
      </c>
      <c r="D52">
        <v>2.6779000000000002</v>
      </c>
      <c r="E52" s="1">
        <f t="shared" si="1"/>
        <v>0.41041666666666671</v>
      </c>
      <c r="F52" s="3">
        <v>46126</v>
      </c>
    </row>
    <row r="53" spans="1:6" x14ac:dyDescent="0.3">
      <c r="A53" t="s">
        <v>26</v>
      </c>
      <c r="B53">
        <v>120</v>
      </c>
      <c r="C53" s="2">
        <f t="shared" si="2"/>
        <v>1.0600000000000164E-3</v>
      </c>
      <c r="D53">
        <v>2.3445999999999998</v>
      </c>
      <c r="E53" s="1">
        <f t="shared" si="1"/>
        <v>0.41041666666666671</v>
      </c>
      <c r="F53" s="3">
        <v>46126</v>
      </c>
    </row>
    <row r="54" spans="1:6" x14ac:dyDescent="0.3">
      <c r="A54" t="s">
        <v>27</v>
      </c>
      <c r="B54">
        <v>120</v>
      </c>
      <c r="C54" s="2">
        <f t="shared" si="2"/>
        <v>1.5900000000000024E-3</v>
      </c>
      <c r="D54">
        <v>3.0358999999999998</v>
      </c>
      <c r="E54" s="1">
        <f t="shared" si="1"/>
        <v>0.41111111111111115</v>
      </c>
      <c r="F54" s="3">
        <v>46126</v>
      </c>
    </row>
    <row r="55" spans="1:6" x14ac:dyDescent="0.3">
      <c r="A55" t="s">
        <v>28</v>
      </c>
      <c r="B55">
        <v>120</v>
      </c>
      <c r="C55" s="2">
        <f t="shared" si="2"/>
        <v>7.4000000000000736E-4</v>
      </c>
      <c r="D55">
        <v>2.3940999999999999</v>
      </c>
      <c r="E55" s="1">
        <f t="shared" si="1"/>
        <v>0.41111111111111115</v>
      </c>
      <c r="F55" s="3">
        <v>46126</v>
      </c>
    </row>
    <row r="56" spans="1:6" x14ac:dyDescent="0.3">
      <c r="A56" t="s">
        <v>2</v>
      </c>
      <c r="B56">
        <v>120</v>
      </c>
      <c r="C56" s="2">
        <f t="shared" si="2"/>
        <v>1.0700000000000154E-3</v>
      </c>
      <c r="D56">
        <v>3.2690999999999999</v>
      </c>
      <c r="E56" s="1">
        <f t="shared" si="1"/>
        <v>0.41111111111111115</v>
      </c>
      <c r="F56" s="3">
        <v>46126</v>
      </c>
    </row>
    <row r="57" spans="1:6" x14ac:dyDescent="0.3">
      <c r="A57" t="s">
        <v>29</v>
      </c>
      <c r="B57">
        <v>120</v>
      </c>
      <c r="C57" s="2">
        <f t="shared" si="2"/>
        <v>1.3950000000000017E-3</v>
      </c>
      <c r="D57">
        <v>1.9562999999999999</v>
      </c>
      <c r="E57" s="1">
        <f t="shared" si="1"/>
        <v>0.41180555555555559</v>
      </c>
      <c r="F57" s="3">
        <v>46126</v>
      </c>
    </row>
    <row r="58" spans="1:6" x14ac:dyDescent="0.3">
      <c r="A58" t="s">
        <v>33</v>
      </c>
      <c r="B58">
        <v>140</v>
      </c>
      <c r="C58" s="2">
        <f t="shared" si="2"/>
        <v>9.5000000000000639E-4</v>
      </c>
      <c r="D58">
        <v>2.2696000000000001</v>
      </c>
      <c r="E58" s="1">
        <f t="shared" si="1"/>
        <v>0.42361111111111116</v>
      </c>
      <c r="F58" s="3">
        <v>46126</v>
      </c>
    </row>
    <row r="59" spans="1:6" x14ac:dyDescent="0.3">
      <c r="A59" t="s">
        <v>25</v>
      </c>
      <c r="B59">
        <v>140</v>
      </c>
      <c r="C59" s="2">
        <f t="shared" si="2"/>
        <v>1.0450000000000071E-3</v>
      </c>
      <c r="D59">
        <v>2.657</v>
      </c>
      <c r="E59" s="1">
        <f t="shared" si="1"/>
        <v>0.4243055555555556</v>
      </c>
      <c r="F59" s="3">
        <v>46126</v>
      </c>
    </row>
    <row r="60" spans="1:6" x14ac:dyDescent="0.3">
      <c r="A60" t="s">
        <v>26</v>
      </c>
      <c r="B60">
        <v>140</v>
      </c>
      <c r="C60" s="2">
        <f t="shared" si="2"/>
        <v>1.154999999999995E-3</v>
      </c>
      <c r="D60">
        <v>2.3214999999999999</v>
      </c>
      <c r="E60" s="1">
        <f t="shared" si="1"/>
        <v>0.4243055555555556</v>
      </c>
      <c r="F60" s="3">
        <v>46126</v>
      </c>
    </row>
    <row r="61" spans="1:6" x14ac:dyDescent="0.3">
      <c r="A61" t="s">
        <v>27</v>
      </c>
      <c r="B61">
        <v>140</v>
      </c>
      <c r="C61" s="2">
        <f t="shared" si="2"/>
        <v>1.3399999999999857E-3</v>
      </c>
      <c r="D61">
        <v>3.0091000000000001</v>
      </c>
      <c r="E61" s="1">
        <f t="shared" si="1"/>
        <v>0.42500000000000004</v>
      </c>
      <c r="F61" s="3">
        <v>46126</v>
      </c>
    </row>
    <row r="62" spans="1:6" x14ac:dyDescent="0.3">
      <c r="A62" t="s">
        <v>28</v>
      </c>
      <c r="B62">
        <v>140</v>
      </c>
      <c r="C62" s="2">
        <f t="shared" si="2"/>
        <v>9.0500000000000021E-4</v>
      </c>
      <c r="D62">
        <v>2.3759999999999999</v>
      </c>
      <c r="E62" s="1">
        <f t="shared" si="1"/>
        <v>0.42500000000000004</v>
      </c>
      <c r="F62" s="3">
        <v>46126</v>
      </c>
    </row>
    <row r="63" spans="1:6" x14ac:dyDescent="0.3">
      <c r="A63" t="s">
        <v>2</v>
      </c>
      <c r="B63">
        <v>140</v>
      </c>
      <c r="C63" s="2">
        <f t="shared" si="2"/>
        <v>1.154999999999995E-3</v>
      </c>
      <c r="D63">
        <v>3.246</v>
      </c>
      <c r="E63" s="1">
        <f t="shared" si="1"/>
        <v>0.42500000000000004</v>
      </c>
      <c r="F63" s="3">
        <v>46126</v>
      </c>
    </row>
    <row r="64" spans="1:6" x14ac:dyDescent="0.3">
      <c r="A64" t="s">
        <v>29</v>
      </c>
      <c r="B64">
        <v>140</v>
      </c>
      <c r="C64" s="2">
        <f t="shared" si="2"/>
        <v>1.5549999999999952E-3</v>
      </c>
      <c r="D64">
        <v>1.9252</v>
      </c>
      <c r="E64" s="1">
        <f t="shared" si="1"/>
        <v>0.42569444444444449</v>
      </c>
      <c r="F64" s="3">
        <v>46126</v>
      </c>
    </row>
    <row r="65" spans="1:6" x14ac:dyDescent="0.3">
      <c r="A65" t="s">
        <v>33</v>
      </c>
      <c r="B65">
        <v>160</v>
      </c>
      <c r="C65" s="2">
        <f t="shared" si="2"/>
        <v>9.549999999999947E-4</v>
      </c>
      <c r="D65">
        <v>2.2505000000000002</v>
      </c>
      <c r="E65" s="1">
        <f t="shared" si="1"/>
        <v>0.43750000000000006</v>
      </c>
      <c r="F65" s="3">
        <v>46126</v>
      </c>
    </row>
    <row r="66" spans="1:6" x14ac:dyDescent="0.3">
      <c r="A66" t="s">
        <v>25</v>
      </c>
      <c r="B66">
        <v>160</v>
      </c>
      <c r="C66" s="2">
        <f t="shared" si="2"/>
        <v>1.0350000000000081E-3</v>
      </c>
      <c r="D66">
        <v>2.6362999999999999</v>
      </c>
      <c r="E66" s="1">
        <f t="shared" si="1"/>
        <v>0.4381944444444445</v>
      </c>
      <c r="F66" s="3">
        <v>46126</v>
      </c>
    </row>
    <row r="67" spans="1:6" x14ac:dyDescent="0.3">
      <c r="A67" t="s">
        <v>26</v>
      </c>
      <c r="B67">
        <v>160</v>
      </c>
      <c r="C67" s="2">
        <f t="shared" si="2"/>
        <v>1.079999999999992E-3</v>
      </c>
      <c r="D67">
        <v>2.2999000000000001</v>
      </c>
      <c r="E67" s="1">
        <f t="shared" si="1"/>
        <v>0.4381944444444445</v>
      </c>
      <c r="F67" s="3">
        <v>46126</v>
      </c>
    </row>
    <row r="68" spans="1:6" x14ac:dyDescent="0.3">
      <c r="A68" t="s">
        <v>27</v>
      </c>
      <c r="B68">
        <v>160</v>
      </c>
      <c r="C68" s="2">
        <f t="shared" si="2"/>
        <v>9.6500000000001587E-4</v>
      </c>
      <c r="D68">
        <v>2.9897999999999998</v>
      </c>
      <c r="E68" s="1">
        <f t="shared" si="1"/>
        <v>0.43888888888888894</v>
      </c>
      <c r="F68" s="3">
        <v>46126</v>
      </c>
    </row>
    <row r="69" spans="1:6" x14ac:dyDescent="0.3">
      <c r="A69" t="s">
        <v>28</v>
      </c>
      <c r="B69">
        <v>160</v>
      </c>
      <c r="C69" s="2">
        <f t="shared" si="2"/>
        <v>7.9499999999999016E-4</v>
      </c>
      <c r="D69">
        <v>2.3601000000000001</v>
      </c>
      <c r="E69" s="1">
        <f t="shared" si="1"/>
        <v>0.43888888888888894</v>
      </c>
      <c r="F69" s="3">
        <v>46126</v>
      </c>
    </row>
    <row r="70" spans="1:6" x14ac:dyDescent="0.3">
      <c r="A70" t="s">
        <v>2</v>
      </c>
      <c r="B70">
        <v>160</v>
      </c>
      <c r="C70" s="2">
        <f t="shared" si="2"/>
        <v>1.0150000000000103E-3</v>
      </c>
      <c r="D70">
        <v>3.2256999999999998</v>
      </c>
      <c r="E70" s="1">
        <f t="shared" si="1"/>
        <v>0.43888888888888894</v>
      </c>
      <c r="F70" s="3">
        <v>46126</v>
      </c>
    </row>
    <row r="71" spans="1:6" x14ac:dyDescent="0.3">
      <c r="A71" t="s">
        <v>29</v>
      </c>
      <c r="B71">
        <v>160</v>
      </c>
      <c r="C71" s="2">
        <f t="shared" si="2"/>
        <v>1.4449999999999962E-3</v>
      </c>
      <c r="D71">
        <v>1.8963000000000001</v>
      </c>
      <c r="E71" s="1">
        <f t="shared" si="1"/>
        <v>0.43958333333333338</v>
      </c>
      <c r="F71" s="3">
        <v>46126</v>
      </c>
    </row>
    <row r="72" spans="1:6" x14ac:dyDescent="0.3">
      <c r="A72" t="s">
        <v>33</v>
      </c>
      <c r="B72">
        <v>180</v>
      </c>
      <c r="C72" s="2">
        <f t="shared" si="2"/>
        <v>9.2000000000000968E-4</v>
      </c>
      <c r="D72">
        <v>2.2321</v>
      </c>
      <c r="E72" s="1">
        <f t="shared" si="1"/>
        <v>0.45138888888888895</v>
      </c>
      <c r="F72" s="3">
        <v>46126</v>
      </c>
    </row>
    <row r="73" spans="1:6" x14ac:dyDescent="0.3">
      <c r="A73" t="s">
        <v>25</v>
      </c>
      <c r="B73">
        <v>180</v>
      </c>
      <c r="C73" s="2">
        <f t="shared" si="2"/>
        <v>9.9000000000000195E-4</v>
      </c>
      <c r="D73">
        <v>2.6164999999999998</v>
      </c>
      <c r="E73" s="1">
        <f t="shared" si="1"/>
        <v>0.45208333333333339</v>
      </c>
      <c r="F73" s="3">
        <v>46126</v>
      </c>
    </row>
    <row r="74" spans="1:6" x14ac:dyDescent="0.3">
      <c r="A74" t="s">
        <v>26</v>
      </c>
      <c r="B74">
        <v>180</v>
      </c>
      <c r="C74" s="2">
        <f t="shared" si="2"/>
        <v>1.0399999999999964E-3</v>
      </c>
      <c r="D74">
        <v>2.2791000000000001</v>
      </c>
      <c r="E74" s="1">
        <f t="shared" si="1"/>
        <v>0.45208333333333339</v>
      </c>
      <c r="F74" s="3">
        <v>46126</v>
      </c>
    </row>
    <row r="75" spans="1:6" x14ac:dyDescent="0.3">
      <c r="A75" t="s">
        <v>27</v>
      </c>
      <c r="B75">
        <v>180</v>
      </c>
      <c r="C75" s="2">
        <f t="shared" si="2"/>
        <v>8.849999999999802E-4</v>
      </c>
      <c r="D75">
        <v>2.9721000000000002</v>
      </c>
      <c r="E75" s="1">
        <f t="shared" si="1"/>
        <v>0.45277777777777783</v>
      </c>
      <c r="F75" s="3">
        <v>46126</v>
      </c>
    </row>
    <row r="76" spans="1:6" x14ac:dyDescent="0.3">
      <c r="A76" t="s">
        <v>28</v>
      </c>
      <c r="B76">
        <v>180</v>
      </c>
      <c r="C76" s="2">
        <f t="shared" si="2"/>
        <v>8.3500000000000794E-4</v>
      </c>
      <c r="D76">
        <v>2.3433999999999999</v>
      </c>
      <c r="E76" s="1">
        <f t="shared" si="1"/>
        <v>0.45277777777777783</v>
      </c>
      <c r="F76" s="3">
        <v>46126</v>
      </c>
    </row>
    <row r="77" spans="1:6" x14ac:dyDescent="0.3">
      <c r="A77" t="s">
        <v>2</v>
      </c>
      <c r="B77">
        <v>180</v>
      </c>
      <c r="C77" s="2">
        <f t="shared" si="2"/>
        <v>1.0649999999999826E-3</v>
      </c>
      <c r="D77">
        <v>3.2044000000000001</v>
      </c>
      <c r="E77" s="1">
        <f t="shared" si="1"/>
        <v>0.45277777777777783</v>
      </c>
      <c r="F77" s="3">
        <v>46126</v>
      </c>
    </row>
    <row r="78" spans="1:6" x14ac:dyDescent="0.3">
      <c r="A78" t="s">
        <v>29</v>
      </c>
      <c r="B78">
        <v>180</v>
      </c>
      <c r="C78" s="2">
        <f t="shared" si="2"/>
        <v>1.4149999999999996E-3</v>
      </c>
      <c r="D78">
        <v>1.8680000000000001</v>
      </c>
      <c r="E78" s="1">
        <f t="shared" si="1"/>
        <v>0.45347222222222228</v>
      </c>
      <c r="F78" s="3">
        <v>46126</v>
      </c>
    </row>
    <row r="79" spans="1:6" x14ac:dyDescent="0.3">
      <c r="A79" t="s">
        <v>33</v>
      </c>
      <c r="B79">
        <v>200</v>
      </c>
      <c r="C79" s="2">
        <f t="shared" si="2"/>
        <v>9.3000000000000862E-4</v>
      </c>
      <c r="D79">
        <v>2.2134999999999998</v>
      </c>
      <c r="E79" s="1">
        <f t="shared" si="1"/>
        <v>0.46527777777777785</v>
      </c>
      <c r="F79" s="3">
        <v>46126</v>
      </c>
    </row>
    <row r="80" spans="1:6" x14ac:dyDescent="0.3">
      <c r="A80" t="s">
        <v>25</v>
      </c>
      <c r="B80">
        <v>200</v>
      </c>
      <c r="C80" s="2">
        <f t="shared" si="2"/>
        <v>9.9499999999999025E-4</v>
      </c>
      <c r="D80">
        <v>2.5966</v>
      </c>
      <c r="E80" s="1">
        <f t="shared" si="1"/>
        <v>0.46597222222222229</v>
      </c>
      <c r="F80" s="3">
        <v>46126</v>
      </c>
    </row>
    <row r="81" spans="1:6" x14ac:dyDescent="0.3">
      <c r="A81" t="s">
        <v>26</v>
      </c>
      <c r="B81">
        <v>200</v>
      </c>
      <c r="C81" s="2">
        <f t="shared" si="2"/>
        <v>1.1449999999999961E-3</v>
      </c>
      <c r="D81">
        <v>2.2562000000000002</v>
      </c>
      <c r="E81" s="1">
        <f t="shared" ref="E81:E99" si="3">E74+(20/1440)</f>
        <v>0.46597222222222229</v>
      </c>
      <c r="F81" s="3">
        <v>46126</v>
      </c>
    </row>
    <row r="82" spans="1:6" x14ac:dyDescent="0.3">
      <c r="A82" t="s">
        <v>27</v>
      </c>
      <c r="B82">
        <v>200</v>
      </c>
      <c r="C82" s="2">
        <f t="shared" si="2"/>
        <v>9.4500000000001809E-4</v>
      </c>
      <c r="D82">
        <v>2.9531999999999998</v>
      </c>
      <c r="E82" s="1">
        <f t="shared" si="3"/>
        <v>0.46666666666666673</v>
      </c>
      <c r="F82" s="3">
        <v>46126</v>
      </c>
    </row>
    <row r="83" spans="1:6" x14ac:dyDescent="0.3">
      <c r="A83" t="s">
        <v>28</v>
      </c>
      <c r="B83">
        <v>200</v>
      </c>
      <c r="C83" s="2">
        <f t="shared" si="2"/>
        <v>8.8999999999999084E-4</v>
      </c>
      <c r="D83">
        <v>2.3256000000000001</v>
      </c>
      <c r="E83" s="1">
        <f t="shared" si="3"/>
        <v>0.46666666666666673</v>
      </c>
      <c r="F83" s="3">
        <v>46126</v>
      </c>
    </row>
    <row r="84" spans="1:6" x14ac:dyDescent="0.3">
      <c r="A84" t="s">
        <v>2</v>
      </c>
      <c r="B84">
        <v>200</v>
      </c>
      <c r="C84" s="2">
        <f t="shared" si="2"/>
        <v>1.1050000000000005E-3</v>
      </c>
      <c r="D84">
        <v>3.1823000000000001</v>
      </c>
      <c r="E84" s="1">
        <f t="shared" si="3"/>
        <v>0.46666666666666673</v>
      </c>
      <c r="F84" s="3">
        <v>46126</v>
      </c>
    </row>
    <row r="85" spans="1:6" x14ac:dyDescent="0.3">
      <c r="A85" t="s">
        <v>29</v>
      </c>
      <c r="B85">
        <v>200</v>
      </c>
      <c r="C85" s="2">
        <f t="shared" si="2"/>
        <v>1.5500000000000069E-3</v>
      </c>
      <c r="D85">
        <v>1.837</v>
      </c>
      <c r="E85" s="1">
        <f t="shared" si="3"/>
        <v>0.46736111111111117</v>
      </c>
      <c r="F85" s="3">
        <v>46126</v>
      </c>
    </row>
    <row r="86" spans="1:6" x14ac:dyDescent="0.3">
      <c r="A86" t="s">
        <v>33</v>
      </c>
      <c r="B86">
        <v>220</v>
      </c>
      <c r="C86" s="2">
        <f t="shared" si="2"/>
        <v>9.4999999999998417E-4</v>
      </c>
      <c r="D86">
        <v>2.1945000000000001</v>
      </c>
      <c r="E86" s="1">
        <f t="shared" si="3"/>
        <v>0.47916666666666674</v>
      </c>
      <c r="F86" s="3">
        <v>46126</v>
      </c>
    </row>
    <row r="87" spans="1:6" x14ac:dyDescent="0.3">
      <c r="A87" t="s">
        <v>25</v>
      </c>
      <c r="B87">
        <v>220</v>
      </c>
      <c r="C87" s="2">
        <f t="shared" si="2"/>
        <v>9.4000000000000745E-4</v>
      </c>
      <c r="D87">
        <v>2.5777999999999999</v>
      </c>
      <c r="E87" s="1">
        <f t="shared" si="3"/>
        <v>0.47986111111111118</v>
      </c>
      <c r="F87" s="3">
        <v>46126</v>
      </c>
    </row>
    <row r="88" spans="1:6" x14ac:dyDescent="0.3">
      <c r="A88" t="s">
        <v>26</v>
      </c>
      <c r="B88">
        <v>220</v>
      </c>
      <c r="C88" s="2">
        <f t="shared" si="2"/>
        <v>9.1000000000001084E-4</v>
      </c>
      <c r="D88">
        <v>2.238</v>
      </c>
      <c r="E88" s="1">
        <f t="shared" si="3"/>
        <v>0.47986111111111118</v>
      </c>
      <c r="F88" s="3">
        <v>46126</v>
      </c>
    </row>
    <row r="89" spans="1:6" x14ac:dyDescent="0.3">
      <c r="A89" t="s">
        <v>27</v>
      </c>
      <c r="B89">
        <v>220</v>
      </c>
      <c r="C89" s="2">
        <f t="shared" si="2"/>
        <v>7.5499999999999461E-4</v>
      </c>
      <c r="D89">
        <v>2.9380999999999999</v>
      </c>
      <c r="E89" s="1">
        <f t="shared" si="3"/>
        <v>0.48055555555555562</v>
      </c>
      <c r="F89" s="3">
        <v>46126</v>
      </c>
    </row>
    <row r="90" spans="1:6" x14ac:dyDescent="0.3">
      <c r="A90" t="s">
        <v>28</v>
      </c>
      <c r="B90">
        <v>220</v>
      </c>
      <c r="C90" s="2">
        <f t="shared" si="2"/>
        <v>6.1999999999999837E-4</v>
      </c>
      <c r="D90">
        <v>2.3132000000000001</v>
      </c>
      <c r="E90" s="1">
        <f t="shared" si="3"/>
        <v>0.48055555555555562</v>
      </c>
      <c r="F90" s="3">
        <v>46126</v>
      </c>
    </row>
    <row r="91" spans="1:6" x14ac:dyDescent="0.3">
      <c r="A91" t="s">
        <v>2</v>
      </c>
      <c r="B91">
        <v>220</v>
      </c>
      <c r="C91" s="2">
        <f t="shared" si="2"/>
        <v>8.6500000000000465E-4</v>
      </c>
      <c r="D91">
        <v>3.165</v>
      </c>
      <c r="E91" s="1">
        <f t="shared" si="3"/>
        <v>0.48055555555555562</v>
      </c>
      <c r="F91" s="3">
        <v>46126</v>
      </c>
    </row>
    <row r="92" spans="1:6" x14ac:dyDescent="0.3">
      <c r="A92" t="s">
        <v>29</v>
      </c>
      <c r="B92">
        <v>220</v>
      </c>
      <c r="C92" s="2">
        <f t="shared" si="2"/>
        <v>1.1249999999999982E-3</v>
      </c>
      <c r="D92">
        <v>1.8145</v>
      </c>
      <c r="E92" s="1">
        <f t="shared" si="3"/>
        <v>0.48125000000000007</v>
      </c>
      <c r="F92" s="3">
        <v>46126</v>
      </c>
    </row>
    <row r="93" spans="1:6" x14ac:dyDescent="0.3">
      <c r="A93" t="s">
        <v>33</v>
      </c>
      <c r="B93">
        <v>240</v>
      </c>
      <c r="C93" s="2">
        <f t="shared" si="2"/>
        <v>8.8000000000001413E-4</v>
      </c>
      <c r="D93">
        <v>2.1768999999999998</v>
      </c>
      <c r="E93" s="1">
        <f t="shared" si="3"/>
        <v>0.49305555555555564</v>
      </c>
      <c r="F93" s="3">
        <v>46126</v>
      </c>
    </row>
    <row r="94" spans="1:6" x14ac:dyDescent="0.3">
      <c r="A94" t="s">
        <v>25</v>
      </c>
      <c r="B94">
        <v>240</v>
      </c>
      <c r="C94" s="2">
        <f t="shared" si="2"/>
        <v>9.3999999999998534E-4</v>
      </c>
      <c r="D94">
        <v>2.5590000000000002</v>
      </c>
      <c r="E94" s="1">
        <f t="shared" si="3"/>
        <v>0.49375000000000008</v>
      </c>
      <c r="F94" s="3">
        <v>46126</v>
      </c>
    </row>
    <row r="95" spans="1:6" x14ac:dyDescent="0.3">
      <c r="A95" t="s">
        <v>26</v>
      </c>
      <c r="B95">
        <v>240</v>
      </c>
      <c r="C95" s="2">
        <f t="shared" si="2"/>
        <v>9.7499999999999258E-4</v>
      </c>
      <c r="D95">
        <v>2.2185000000000001</v>
      </c>
      <c r="E95" s="1">
        <f t="shared" si="3"/>
        <v>0.49375000000000008</v>
      </c>
      <c r="F95" s="3">
        <v>46126</v>
      </c>
    </row>
    <row r="96" spans="1:6" x14ac:dyDescent="0.3">
      <c r="A96" t="s">
        <v>27</v>
      </c>
      <c r="B96">
        <v>240</v>
      </c>
      <c r="C96" s="2">
        <f t="shared" si="2"/>
        <v>1.0750000000000037E-3</v>
      </c>
      <c r="D96">
        <v>2.9165999999999999</v>
      </c>
      <c r="E96" s="1">
        <f t="shared" si="3"/>
        <v>0.49444444444444452</v>
      </c>
      <c r="F96" s="3">
        <v>46126</v>
      </c>
    </row>
    <row r="97" spans="1:6" x14ac:dyDescent="0.3">
      <c r="A97" t="s">
        <v>28</v>
      </c>
      <c r="B97">
        <v>240</v>
      </c>
      <c r="C97" s="2">
        <f>(D90-D97)/20</f>
        <v>8.2999999999999741E-4</v>
      </c>
      <c r="D97">
        <v>2.2966000000000002</v>
      </c>
      <c r="E97" s="1">
        <f t="shared" si="3"/>
        <v>0.49444444444444452</v>
      </c>
      <c r="F97" s="3">
        <v>46126</v>
      </c>
    </row>
    <row r="98" spans="1:6" x14ac:dyDescent="0.3">
      <c r="A98" t="s">
        <v>2</v>
      </c>
      <c r="B98">
        <v>240</v>
      </c>
      <c r="C98" s="2">
        <f t="shared" si="2"/>
        <v>1.0250000000000092E-3</v>
      </c>
      <c r="D98">
        <v>3.1444999999999999</v>
      </c>
      <c r="E98" s="1">
        <f t="shared" si="3"/>
        <v>0.49444444444444452</v>
      </c>
      <c r="F98" s="3">
        <v>46126</v>
      </c>
    </row>
    <row r="99" spans="1:6" x14ac:dyDescent="0.3">
      <c r="A99" t="s">
        <v>29</v>
      </c>
      <c r="B99">
        <v>240</v>
      </c>
      <c r="C99" s="2">
        <f t="shared" si="2"/>
        <v>1.385000000000003E-3</v>
      </c>
      <c r="D99">
        <v>1.7867999999999999</v>
      </c>
      <c r="E99" s="1">
        <f t="shared" si="3"/>
        <v>0.49513888888888896</v>
      </c>
      <c r="F99" s="3">
        <v>46126</v>
      </c>
    </row>
    <row r="100" spans="1:6" x14ac:dyDescent="0.3">
      <c r="E100" s="1"/>
    </row>
    <row r="101" spans="1:6" x14ac:dyDescent="0.3">
      <c r="E101" s="1"/>
    </row>
    <row r="102" spans="1:6" x14ac:dyDescent="0.3">
      <c r="E102" s="1"/>
    </row>
    <row r="103" spans="1:6" x14ac:dyDescent="0.3">
      <c r="E103" s="1"/>
    </row>
    <row r="104" spans="1:6" x14ac:dyDescent="0.3">
      <c r="E104" s="1"/>
    </row>
    <row r="105" spans="1:6" x14ac:dyDescent="0.3">
      <c r="E105" s="1"/>
    </row>
    <row r="106" spans="1:6" x14ac:dyDescent="0.3">
      <c r="E106" s="1"/>
    </row>
    <row r="107" spans="1:6" x14ac:dyDescent="0.3">
      <c r="E107" s="1"/>
    </row>
    <row r="108" spans="1:6" x14ac:dyDescent="0.3">
      <c r="E108" s="1"/>
    </row>
    <row r="109" spans="1:6" x14ac:dyDescent="0.3">
      <c r="E109" s="1"/>
    </row>
    <row r="110" spans="1:6" x14ac:dyDescent="0.3">
      <c r="E110" s="1"/>
    </row>
    <row r="111" spans="1:6" x14ac:dyDescent="0.3">
      <c r="E111" s="1"/>
    </row>
    <row r="112" spans="1:6" x14ac:dyDescent="0.3">
      <c r="E112" s="1"/>
    </row>
    <row r="113" spans="5:5" x14ac:dyDescent="0.3">
      <c r="E113" s="1"/>
    </row>
    <row r="114" spans="5:5" x14ac:dyDescent="0.3">
      <c r="E114" s="1"/>
    </row>
    <row r="115" spans="5:5" x14ac:dyDescent="0.3">
      <c r="E115" s="1"/>
    </row>
    <row r="116" spans="5:5" x14ac:dyDescent="0.3">
      <c r="E116" s="1"/>
    </row>
    <row r="117" spans="5:5" x14ac:dyDescent="0.3">
      <c r="E117" s="1"/>
    </row>
    <row r="118" spans="5:5" x14ac:dyDescent="0.3">
      <c r="E118" s="1"/>
    </row>
    <row r="119" spans="5:5" x14ac:dyDescent="0.3">
      <c r="E119" s="1"/>
    </row>
    <row r="120" spans="5:5" x14ac:dyDescent="0.3">
      <c r="E120" s="1"/>
    </row>
    <row r="121" spans="5:5" x14ac:dyDescent="0.3">
      <c r="E121" s="1"/>
    </row>
    <row r="122" spans="5:5" x14ac:dyDescent="0.3">
      <c r="E122" s="1"/>
    </row>
    <row r="123" spans="5:5" x14ac:dyDescent="0.3">
      <c r="E123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84335-0762-4039-9ED4-7FA443C60A84}">
  <dimension ref="A1:F120"/>
  <sheetViews>
    <sheetView workbookViewId="0">
      <selection activeCell="A9" sqref="A9:F106"/>
    </sheetView>
  </sheetViews>
  <sheetFormatPr baseColWidth="10" defaultRowHeight="14.4" x14ac:dyDescent="0.3"/>
  <sheetData>
    <row r="1" spans="1:6" x14ac:dyDescent="0.3">
      <c r="A1" t="s">
        <v>0</v>
      </c>
      <c r="B1" t="s">
        <v>21</v>
      </c>
      <c r="C1" t="s">
        <v>22</v>
      </c>
      <c r="D1" t="s">
        <v>48</v>
      </c>
      <c r="E1" t="s">
        <v>8</v>
      </c>
      <c r="F1" t="s">
        <v>20</v>
      </c>
    </row>
    <row r="2" spans="1:6" x14ac:dyDescent="0.3">
      <c r="A2" t="s">
        <v>59</v>
      </c>
      <c r="C2" t="s">
        <v>66</v>
      </c>
      <c r="D2">
        <v>2.9382000000000001</v>
      </c>
      <c r="E2" s="1">
        <v>0.32777777777777778</v>
      </c>
      <c r="F2" s="3">
        <v>46132</v>
      </c>
    </row>
    <row r="3" spans="1:6" x14ac:dyDescent="0.3">
      <c r="A3" t="s">
        <v>60</v>
      </c>
      <c r="D3">
        <v>1.6322000000000001</v>
      </c>
      <c r="E3" s="1">
        <v>0.32916666666666666</v>
      </c>
      <c r="F3" s="3">
        <v>46132</v>
      </c>
    </row>
    <row r="4" spans="1:6" x14ac:dyDescent="0.3">
      <c r="A4" t="s">
        <v>61</v>
      </c>
      <c r="D4">
        <v>2.1202999999999999</v>
      </c>
      <c r="E4" s="1">
        <v>0.33055555555555555</v>
      </c>
      <c r="F4" s="3">
        <v>46132</v>
      </c>
    </row>
    <row r="5" spans="1:6" x14ac:dyDescent="0.3">
      <c r="A5" t="s">
        <v>62</v>
      </c>
      <c r="D5">
        <v>1.9597</v>
      </c>
      <c r="E5" s="1">
        <v>0.33194444444444443</v>
      </c>
      <c r="F5" s="3">
        <v>46132</v>
      </c>
    </row>
    <row r="6" spans="1:6" x14ac:dyDescent="0.3">
      <c r="A6" t="s">
        <v>63</v>
      </c>
      <c r="D6">
        <v>0.88829999999999998</v>
      </c>
      <c r="E6" s="1">
        <v>0.33333333333333331</v>
      </c>
      <c r="F6" s="3">
        <v>46132</v>
      </c>
    </row>
    <row r="7" spans="1:6" x14ac:dyDescent="0.3">
      <c r="A7" t="s">
        <v>64</v>
      </c>
      <c r="D7">
        <v>3.7389999999999999</v>
      </c>
      <c r="E7" s="1">
        <v>0.3347222222222222</v>
      </c>
      <c r="F7" s="3">
        <v>46132</v>
      </c>
    </row>
    <row r="8" spans="1:6" x14ac:dyDescent="0.3">
      <c r="A8" t="s">
        <v>65</v>
      </c>
      <c r="D8">
        <v>1.7231000000000001</v>
      </c>
      <c r="E8" s="1">
        <v>0.33611111111111114</v>
      </c>
      <c r="F8" s="3">
        <v>46132</v>
      </c>
    </row>
    <row r="9" spans="1:6" x14ac:dyDescent="0.3">
      <c r="A9" t="s">
        <v>59</v>
      </c>
      <c r="B9">
        <v>0</v>
      </c>
      <c r="C9">
        <v>0</v>
      </c>
      <c r="D9">
        <v>2.9005999999999998</v>
      </c>
      <c r="E9" s="1">
        <f>E2+(15/1440)</f>
        <v>0.33819444444444446</v>
      </c>
      <c r="F9" s="3">
        <v>46132</v>
      </c>
    </row>
    <row r="10" spans="1:6" x14ac:dyDescent="0.3">
      <c r="A10" t="s">
        <v>60</v>
      </c>
      <c r="B10">
        <v>0</v>
      </c>
      <c r="C10">
        <v>0</v>
      </c>
      <c r="D10">
        <v>1.6086</v>
      </c>
      <c r="E10" s="1">
        <f t="shared" ref="E10:E14" si="0">E3+(15/1440)</f>
        <v>0.33958333333333335</v>
      </c>
      <c r="F10" s="3">
        <v>46132</v>
      </c>
    </row>
    <row r="11" spans="1:6" x14ac:dyDescent="0.3">
      <c r="A11" t="s">
        <v>61</v>
      </c>
      <c r="B11">
        <v>0</v>
      </c>
      <c r="C11">
        <v>0</v>
      </c>
      <c r="D11">
        <v>2.0996000000000001</v>
      </c>
      <c r="E11" s="1">
        <f t="shared" si="0"/>
        <v>0.34097222222222223</v>
      </c>
      <c r="F11" s="3">
        <v>46132</v>
      </c>
    </row>
    <row r="12" spans="1:6" x14ac:dyDescent="0.3">
      <c r="A12" t="s">
        <v>62</v>
      </c>
      <c r="B12">
        <v>0</v>
      </c>
      <c r="C12">
        <v>0</v>
      </c>
      <c r="D12">
        <v>1.9391</v>
      </c>
      <c r="E12" s="1">
        <f t="shared" si="0"/>
        <v>0.34236111111111112</v>
      </c>
      <c r="F12" s="3">
        <v>46132</v>
      </c>
    </row>
    <row r="13" spans="1:6" x14ac:dyDescent="0.3">
      <c r="A13" t="s">
        <v>63</v>
      </c>
      <c r="B13">
        <v>0</v>
      </c>
      <c r="C13">
        <v>0</v>
      </c>
      <c r="D13">
        <v>0.87639999999999996</v>
      </c>
      <c r="E13" s="1">
        <f t="shared" si="0"/>
        <v>0.34375</v>
      </c>
      <c r="F13" s="3">
        <v>46132</v>
      </c>
    </row>
    <row r="14" spans="1:6" x14ac:dyDescent="0.3">
      <c r="A14" t="s">
        <v>64</v>
      </c>
      <c r="B14">
        <v>0</v>
      </c>
      <c r="C14">
        <v>0</v>
      </c>
      <c r="D14">
        <v>3.7204000000000002</v>
      </c>
      <c r="E14" s="1">
        <f t="shared" si="0"/>
        <v>0.34513888888888888</v>
      </c>
      <c r="F14" s="3">
        <v>46132</v>
      </c>
    </row>
    <row r="15" spans="1:6" x14ac:dyDescent="0.3">
      <c r="A15" t="s">
        <v>65</v>
      </c>
      <c r="B15">
        <v>0</v>
      </c>
      <c r="C15">
        <v>0</v>
      </c>
      <c r="D15">
        <v>1.696</v>
      </c>
      <c r="E15" s="1">
        <f>E8+(15/1440)</f>
        <v>0.34652777777777782</v>
      </c>
      <c r="F15" s="3">
        <v>46132</v>
      </c>
    </row>
    <row r="16" spans="1:6" x14ac:dyDescent="0.3">
      <c r="A16" t="s">
        <v>59</v>
      </c>
      <c r="B16">
        <v>20</v>
      </c>
      <c r="C16" s="2">
        <f>(D9-D16)/20</f>
        <v>2.1050000000000014E-3</v>
      </c>
      <c r="D16">
        <v>2.8584999999999998</v>
      </c>
      <c r="E16" s="1">
        <f t="shared" ref="E16:E79" si="1">E9+(20/1440)</f>
        <v>0.35208333333333336</v>
      </c>
      <c r="F16" s="3">
        <v>46132</v>
      </c>
    </row>
    <row r="17" spans="1:6" x14ac:dyDescent="0.3">
      <c r="A17" t="s">
        <v>60</v>
      </c>
      <c r="B17">
        <v>20</v>
      </c>
      <c r="C17" s="2">
        <f t="shared" ref="C17:C80" si="2">(D10-D17)/20</f>
        <v>1.200000000000001E-3</v>
      </c>
      <c r="D17">
        <v>1.5846</v>
      </c>
      <c r="E17" s="1">
        <f t="shared" si="1"/>
        <v>0.35347222222222224</v>
      </c>
      <c r="F17" s="3">
        <v>46132</v>
      </c>
    </row>
    <row r="18" spans="1:6" x14ac:dyDescent="0.3">
      <c r="A18" t="s">
        <v>61</v>
      </c>
      <c r="B18">
        <v>20</v>
      </c>
      <c r="C18" s="2">
        <f t="shared" si="2"/>
        <v>1.100000000000012E-3</v>
      </c>
      <c r="D18">
        <v>2.0775999999999999</v>
      </c>
      <c r="E18" s="1">
        <f t="shared" si="1"/>
        <v>0.35486111111111113</v>
      </c>
      <c r="F18" s="3">
        <v>46132</v>
      </c>
    </row>
    <row r="19" spans="1:6" x14ac:dyDescent="0.3">
      <c r="A19" t="s">
        <v>62</v>
      </c>
      <c r="B19">
        <v>20</v>
      </c>
      <c r="C19" s="2">
        <f t="shared" si="2"/>
        <v>9.0500000000000021E-4</v>
      </c>
      <c r="D19">
        <v>1.921</v>
      </c>
      <c r="E19" s="1">
        <f t="shared" si="1"/>
        <v>0.35625000000000001</v>
      </c>
      <c r="F19" s="3">
        <v>46132</v>
      </c>
    </row>
    <row r="20" spans="1:6" x14ac:dyDescent="0.3">
      <c r="A20" t="s">
        <v>63</v>
      </c>
      <c r="B20">
        <v>20</v>
      </c>
      <c r="C20" s="2">
        <f t="shared" si="2"/>
        <v>4.7499999999999767E-4</v>
      </c>
      <c r="D20">
        <v>0.8669</v>
      </c>
      <c r="E20" s="1">
        <f t="shared" si="1"/>
        <v>0.3576388888888889</v>
      </c>
      <c r="F20" s="3">
        <v>46132</v>
      </c>
    </row>
    <row r="21" spans="1:6" x14ac:dyDescent="0.3">
      <c r="A21" t="s">
        <v>64</v>
      </c>
      <c r="B21">
        <v>20</v>
      </c>
      <c r="C21" s="2">
        <f t="shared" si="2"/>
        <v>1.0350000000000081E-3</v>
      </c>
      <c r="D21">
        <v>3.6997</v>
      </c>
      <c r="E21" s="1">
        <f t="shared" si="1"/>
        <v>0.35902777777777778</v>
      </c>
      <c r="F21" s="3">
        <v>46132</v>
      </c>
    </row>
    <row r="22" spans="1:6" x14ac:dyDescent="0.3">
      <c r="A22" t="s">
        <v>65</v>
      </c>
      <c r="B22">
        <v>20</v>
      </c>
      <c r="C22" s="2">
        <f t="shared" si="2"/>
        <v>1.1749999999999927E-3</v>
      </c>
      <c r="D22">
        <v>1.6725000000000001</v>
      </c>
      <c r="E22" s="1">
        <f t="shared" si="1"/>
        <v>0.36041666666666672</v>
      </c>
      <c r="F22" s="3">
        <v>46132</v>
      </c>
    </row>
    <row r="23" spans="1:6" x14ac:dyDescent="0.3">
      <c r="A23" t="s">
        <v>59</v>
      </c>
      <c r="B23">
        <v>40</v>
      </c>
      <c r="C23" s="2">
        <f t="shared" si="2"/>
        <v>1.9099999999999894E-3</v>
      </c>
      <c r="D23">
        <v>2.8203</v>
      </c>
      <c r="E23" s="1">
        <f t="shared" si="1"/>
        <v>0.36597222222222225</v>
      </c>
      <c r="F23" s="3">
        <v>46132</v>
      </c>
    </row>
    <row r="24" spans="1:6" x14ac:dyDescent="0.3">
      <c r="A24" t="s">
        <v>60</v>
      </c>
      <c r="B24">
        <v>40</v>
      </c>
      <c r="C24" s="2">
        <f t="shared" si="2"/>
        <v>1.1900000000000023E-3</v>
      </c>
      <c r="D24">
        <v>1.5608</v>
      </c>
      <c r="E24" s="1">
        <f t="shared" si="1"/>
        <v>0.36736111111111114</v>
      </c>
      <c r="F24" s="3">
        <v>46132</v>
      </c>
    </row>
    <row r="25" spans="1:6" x14ac:dyDescent="0.3">
      <c r="A25" t="s">
        <v>61</v>
      </c>
      <c r="B25">
        <v>40</v>
      </c>
      <c r="C25" s="2">
        <f t="shared" si="2"/>
        <v>1.0449999999999847E-3</v>
      </c>
      <c r="D25">
        <v>2.0567000000000002</v>
      </c>
      <c r="E25" s="1">
        <f t="shared" si="1"/>
        <v>0.36875000000000002</v>
      </c>
      <c r="F25" s="3">
        <v>46132</v>
      </c>
    </row>
    <row r="26" spans="1:6" x14ac:dyDescent="0.3">
      <c r="A26" t="s">
        <v>62</v>
      </c>
      <c r="B26">
        <v>40</v>
      </c>
      <c r="C26" s="2">
        <f t="shared" si="2"/>
        <v>9.7000000000000417E-4</v>
      </c>
      <c r="D26">
        <v>1.9016</v>
      </c>
      <c r="E26" s="1">
        <f t="shared" si="1"/>
        <v>0.37013888888888891</v>
      </c>
      <c r="F26" s="3">
        <v>46132</v>
      </c>
    </row>
    <row r="27" spans="1:6" x14ac:dyDescent="0.3">
      <c r="A27" t="s">
        <v>63</v>
      </c>
      <c r="B27">
        <v>40</v>
      </c>
      <c r="C27" s="2">
        <f t="shared" si="2"/>
        <v>4.8500000000000209E-4</v>
      </c>
      <c r="D27">
        <v>0.85719999999999996</v>
      </c>
      <c r="E27" s="1">
        <f t="shared" si="1"/>
        <v>0.37152777777777779</v>
      </c>
      <c r="F27" s="3">
        <v>46132</v>
      </c>
    </row>
    <row r="28" spans="1:6" x14ac:dyDescent="0.3">
      <c r="A28" t="s">
        <v>64</v>
      </c>
      <c r="B28">
        <v>40</v>
      </c>
      <c r="C28" s="2">
        <f t="shared" si="2"/>
        <v>9.7000000000000417E-4</v>
      </c>
      <c r="D28">
        <v>3.6802999999999999</v>
      </c>
      <c r="E28" s="1">
        <f t="shared" si="1"/>
        <v>0.37291666666666667</v>
      </c>
      <c r="F28" s="3">
        <v>46132</v>
      </c>
    </row>
    <row r="29" spans="1:6" x14ac:dyDescent="0.3">
      <c r="A29" t="s">
        <v>65</v>
      </c>
      <c r="B29">
        <v>40</v>
      </c>
      <c r="C29" s="2">
        <f t="shared" si="2"/>
        <v>1.1500000000000065E-3</v>
      </c>
      <c r="D29">
        <v>1.6495</v>
      </c>
      <c r="E29" s="1">
        <f t="shared" si="1"/>
        <v>0.37430555555555561</v>
      </c>
      <c r="F29" s="3">
        <v>46132</v>
      </c>
    </row>
    <row r="30" spans="1:6" x14ac:dyDescent="0.3">
      <c r="A30" t="s">
        <v>59</v>
      </c>
      <c r="B30">
        <v>60</v>
      </c>
      <c r="C30" s="2">
        <f t="shared" si="2"/>
        <v>2.0050000000000124E-3</v>
      </c>
      <c r="D30">
        <v>2.7801999999999998</v>
      </c>
      <c r="E30" s="1">
        <f t="shared" si="1"/>
        <v>0.37986111111111115</v>
      </c>
      <c r="F30" s="3">
        <v>46132</v>
      </c>
    </row>
    <row r="31" spans="1:6" x14ac:dyDescent="0.3">
      <c r="A31" t="s">
        <v>60</v>
      </c>
      <c r="B31">
        <v>60</v>
      </c>
      <c r="C31" s="2">
        <f t="shared" si="2"/>
        <v>1.1349999999999971E-3</v>
      </c>
      <c r="D31">
        <v>1.5381</v>
      </c>
      <c r="E31" s="1">
        <f t="shared" si="1"/>
        <v>0.38125000000000003</v>
      </c>
      <c r="F31" s="3">
        <v>46132</v>
      </c>
    </row>
    <row r="32" spans="1:6" x14ac:dyDescent="0.3">
      <c r="A32" t="s">
        <v>61</v>
      </c>
      <c r="B32">
        <v>60</v>
      </c>
      <c r="C32" s="2">
        <f t="shared" si="2"/>
        <v>1.1800000000000033E-3</v>
      </c>
      <c r="D32">
        <v>2.0331000000000001</v>
      </c>
      <c r="E32" s="1">
        <f t="shared" si="1"/>
        <v>0.38263888888888892</v>
      </c>
      <c r="F32" s="3">
        <v>46132</v>
      </c>
    </row>
    <row r="33" spans="1:6" x14ac:dyDescent="0.3">
      <c r="A33" t="s">
        <v>62</v>
      </c>
      <c r="B33">
        <v>60</v>
      </c>
      <c r="C33" s="2">
        <f t="shared" si="2"/>
        <v>9.2999999999999745E-4</v>
      </c>
      <c r="D33">
        <v>1.883</v>
      </c>
      <c r="E33" s="1">
        <f t="shared" si="1"/>
        <v>0.3840277777777778</v>
      </c>
      <c r="F33" s="3">
        <v>46132</v>
      </c>
    </row>
    <row r="34" spans="1:6" x14ac:dyDescent="0.3">
      <c r="A34" t="s">
        <v>63</v>
      </c>
      <c r="B34">
        <v>60</v>
      </c>
      <c r="C34" s="2">
        <f t="shared" si="2"/>
        <v>4.6499999999999873E-4</v>
      </c>
      <c r="D34">
        <v>0.84789999999999999</v>
      </c>
      <c r="E34" s="1">
        <f t="shared" si="1"/>
        <v>0.38541666666666669</v>
      </c>
      <c r="F34" s="3">
        <v>46132</v>
      </c>
    </row>
    <row r="35" spans="1:6" x14ac:dyDescent="0.3">
      <c r="A35" t="s">
        <v>64</v>
      </c>
      <c r="B35">
        <v>60</v>
      </c>
      <c r="C35" s="2">
        <f t="shared" si="2"/>
        <v>1.0149999999999881E-3</v>
      </c>
      <c r="D35">
        <v>3.66</v>
      </c>
      <c r="E35" s="1">
        <f t="shared" si="1"/>
        <v>0.38680555555555557</v>
      </c>
      <c r="F35" s="3">
        <v>46132</v>
      </c>
    </row>
    <row r="36" spans="1:6" x14ac:dyDescent="0.3">
      <c r="A36" t="s">
        <v>65</v>
      </c>
      <c r="B36">
        <v>60</v>
      </c>
      <c r="C36" s="2">
        <f t="shared" si="2"/>
        <v>1.1199999999999988E-3</v>
      </c>
      <c r="D36">
        <v>1.6271</v>
      </c>
      <c r="E36" s="1">
        <f t="shared" si="1"/>
        <v>0.38819444444444451</v>
      </c>
      <c r="F36" s="3">
        <v>46132</v>
      </c>
    </row>
    <row r="37" spans="1:6" x14ac:dyDescent="0.3">
      <c r="A37" t="s">
        <v>59</v>
      </c>
      <c r="B37">
        <v>80</v>
      </c>
      <c r="C37" s="2">
        <f t="shared" si="2"/>
        <v>1.6599999999999948E-3</v>
      </c>
      <c r="D37">
        <v>2.7469999999999999</v>
      </c>
      <c r="E37" s="1">
        <f t="shared" si="1"/>
        <v>0.39375000000000004</v>
      </c>
      <c r="F37" s="3">
        <v>46132</v>
      </c>
    </row>
    <row r="38" spans="1:6" x14ac:dyDescent="0.3">
      <c r="A38" t="s">
        <v>60</v>
      </c>
      <c r="B38">
        <v>80</v>
      </c>
      <c r="C38" s="2">
        <f t="shared" si="2"/>
        <v>1.0349999999999971E-3</v>
      </c>
      <c r="D38">
        <v>1.5174000000000001</v>
      </c>
      <c r="E38" s="1">
        <f t="shared" si="1"/>
        <v>0.39513888888888893</v>
      </c>
      <c r="F38" s="3">
        <v>46132</v>
      </c>
    </row>
    <row r="39" spans="1:6" x14ac:dyDescent="0.3">
      <c r="A39" t="s">
        <v>61</v>
      </c>
      <c r="B39">
        <v>80</v>
      </c>
      <c r="C39" s="2">
        <f t="shared" si="2"/>
        <v>1.3050000000000006E-3</v>
      </c>
      <c r="D39">
        <v>2.0070000000000001</v>
      </c>
      <c r="E39" s="1">
        <f t="shared" si="1"/>
        <v>0.39652777777777781</v>
      </c>
      <c r="F39" s="3">
        <v>46132</v>
      </c>
    </row>
    <row r="40" spans="1:6" x14ac:dyDescent="0.3">
      <c r="A40" t="s">
        <v>62</v>
      </c>
      <c r="B40">
        <v>80</v>
      </c>
      <c r="C40" s="2">
        <f t="shared" si="2"/>
        <v>9.7000000000000417E-4</v>
      </c>
      <c r="D40">
        <v>1.8635999999999999</v>
      </c>
      <c r="E40" s="1">
        <f t="shared" si="1"/>
        <v>0.3979166666666667</v>
      </c>
      <c r="F40" s="3">
        <v>46132</v>
      </c>
    </row>
    <row r="41" spans="1:6" x14ac:dyDescent="0.3">
      <c r="A41" t="s">
        <v>63</v>
      </c>
      <c r="B41">
        <v>80</v>
      </c>
      <c r="C41" s="2">
        <f t="shared" si="2"/>
        <v>4.149999999999987E-4</v>
      </c>
      <c r="D41">
        <v>0.83960000000000001</v>
      </c>
      <c r="E41" s="1">
        <f t="shared" si="1"/>
        <v>0.39930555555555558</v>
      </c>
      <c r="F41" s="3">
        <v>46132</v>
      </c>
    </row>
    <row r="42" spans="1:6" x14ac:dyDescent="0.3">
      <c r="A42" t="s">
        <v>64</v>
      </c>
      <c r="B42">
        <v>80</v>
      </c>
      <c r="C42" s="2">
        <f t="shared" si="2"/>
        <v>9.5000000000000639E-4</v>
      </c>
      <c r="D42">
        <v>3.641</v>
      </c>
      <c r="E42" s="1">
        <f t="shared" si="1"/>
        <v>0.40069444444444446</v>
      </c>
      <c r="F42" s="3">
        <v>46132</v>
      </c>
    </row>
    <row r="43" spans="1:6" x14ac:dyDescent="0.3">
      <c r="A43" t="s">
        <v>65</v>
      </c>
      <c r="B43">
        <v>80</v>
      </c>
      <c r="C43" s="2">
        <f t="shared" si="2"/>
        <v>1.0299999999999975E-3</v>
      </c>
      <c r="D43">
        <v>1.6065</v>
      </c>
      <c r="E43" s="1">
        <f>E36+(20/1440)</f>
        <v>0.4020833333333334</v>
      </c>
      <c r="F43" s="3">
        <v>46132</v>
      </c>
    </row>
    <row r="44" spans="1:6" x14ac:dyDescent="0.3">
      <c r="A44" t="s">
        <v>59</v>
      </c>
      <c r="B44">
        <v>100</v>
      </c>
      <c r="C44" s="2">
        <f t="shared" si="2"/>
        <v>1.7700000000000049E-3</v>
      </c>
      <c r="D44">
        <v>2.7115999999999998</v>
      </c>
      <c r="E44" s="1">
        <f t="shared" si="1"/>
        <v>0.40763888888888894</v>
      </c>
      <c r="F44" s="3">
        <v>46132</v>
      </c>
    </row>
    <row r="45" spans="1:6" x14ac:dyDescent="0.3">
      <c r="A45" t="s">
        <v>60</v>
      </c>
      <c r="B45">
        <v>100</v>
      </c>
      <c r="C45" s="2">
        <f t="shared" si="2"/>
        <v>9.650000000000047E-4</v>
      </c>
      <c r="D45">
        <v>1.4981</v>
      </c>
      <c r="E45" s="1">
        <f t="shared" si="1"/>
        <v>0.40902777777777782</v>
      </c>
      <c r="F45" s="3">
        <v>46132</v>
      </c>
    </row>
    <row r="46" spans="1:6" x14ac:dyDescent="0.3">
      <c r="A46" t="s">
        <v>61</v>
      </c>
      <c r="B46">
        <v>100</v>
      </c>
      <c r="C46" s="2">
        <f t="shared" si="2"/>
        <v>1.3000000000000012E-3</v>
      </c>
      <c r="D46">
        <v>1.9810000000000001</v>
      </c>
      <c r="E46" s="1">
        <f t="shared" si="1"/>
        <v>0.41041666666666671</v>
      </c>
      <c r="F46" s="3">
        <v>46132</v>
      </c>
    </row>
    <row r="47" spans="1:6" x14ac:dyDescent="0.3">
      <c r="A47" t="s">
        <v>62</v>
      </c>
      <c r="B47">
        <v>100</v>
      </c>
      <c r="C47" s="2">
        <f t="shared" si="2"/>
        <v>8.5999999999999412E-4</v>
      </c>
      <c r="D47">
        <v>1.8464</v>
      </c>
      <c r="E47" s="1">
        <f t="shared" si="1"/>
        <v>0.41180555555555559</v>
      </c>
      <c r="F47" s="3">
        <v>46132</v>
      </c>
    </row>
    <row r="48" spans="1:6" x14ac:dyDescent="0.3">
      <c r="A48" t="s">
        <v>63</v>
      </c>
      <c r="B48">
        <v>100</v>
      </c>
      <c r="C48" s="2">
        <f t="shared" si="2"/>
        <v>5.2500000000000322E-4</v>
      </c>
      <c r="D48">
        <v>0.82909999999999995</v>
      </c>
      <c r="E48" s="1">
        <f t="shared" si="1"/>
        <v>0.41319444444444448</v>
      </c>
      <c r="F48" s="3">
        <v>46132</v>
      </c>
    </row>
    <row r="49" spans="1:6" x14ac:dyDescent="0.3">
      <c r="A49" t="s">
        <v>64</v>
      </c>
      <c r="B49">
        <v>100</v>
      </c>
      <c r="C49" s="2">
        <f t="shared" si="2"/>
        <v>8.750000000000036E-4</v>
      </c>
      <c r="D49">
        <v>3.6234999999999999</v>
      </c>
      <c r="E49" s="1">
        <f t="shared" si="1"/>
        <v>0.41458333333333336</v>
      </c>
      <c r="F49" s="3">
        <v>46132</v>
      </c>
    </row>
    <row r="50" spans="1:6" x14ac:dyDescent="0.3">
      <c r="A50" t="s">
        <v>65</v>
      </c>
      <c r="B50">
        <v>100</v>
      </c>
      <c r="C50" s="2">
        <f t="shared" si="2"/>
        <v>1.0399999999999964E-3</v>
      </c>
      <c r="D50">
        <v>1.5857000000000001</v>
      </c>
      <c r="E50" s="1">
        <f t="shared" si="1"/>
        <v>0.4159722222222223</v>
      </c>
      <c r="F50" s="3">
        <v>46132</v>
      </c>
    </row>
    <row r="51" spans="1:6" x14ac:dyDescent="0.3">
      <c r="A51" t="s">
        <v>59</v>
      </c>
      <c r="B51">
        <v>120</v>
      </c>
      <c r="C51" s="2">
        <f t="shared" si="2"/>
        <v>1.6299999999999982E-3</v>
      </c>
      <c r="D51">
        <v>2.6789999999999998</v>
      </c>
      <c r="E51" s="1">
        <f t="shared" si="1"/>
        <v>0.42152777777777783</v>
      </c>
      <c r="F51" s="3">
        <v>46132</v>
      </c>
    </row>
    <row r="52" spans="1:6" x14ac:dyDescent="0.3">
      <c r="A52" t="s">
        <v>60</v>
      </c>
      <c r="B52">
        <v>120</v>
      </c>
      <c r="C52" s="2">
        <f t="shared" si="2"/>
        <v>1.0199999999999988E-3</v>
      </c>
      <c r="D52">
        <v>1.4777</v>
      </c>
      <c r="E52" s="1">
        <f t="shared" si="1"/>
        <v>0.42291666666666672</v>
      </c>
      <c r="F52" s="3">
        <v>46132</v>
      </c>
    </row>
    <row r="53" spans="1:6" x14ac:dyDescent="0.3">
      <c r="A53" t="s">
        <v>61</v>
      </c>
      <c r="B53">
        <v>120</v>
      </c>
      <c r="C53" s="2">
        <f t="shared" si="2"/>
        <v>1.2450000000000072E-3</v>
      </c>
      <c r="D53">
        <v>1.9560999999999999</v>
      </c>
      <c r="E53" s="1">
        <f t="shared" si="1"/>
        <v>0.4243055555555556</v>
      </c>
      <c r="F53" s="3">
        <v>46132</v>
      </c>
    </row>
    <row r="54" spans="1:6" x14ac:dyDescent="0.3">
      <c r="A54" t="s">
        <v>62</v>
      </c>
      <c r="B54">
        <v>120</v>
      </c>
      <c r="C54" s="2">
        <f t="shared" si="2"/>
        <v>8.8000000000000296E-4</v>
      </c>
      <c r="D54">
        <v>1.8288</v>
      </c>
      <c r="E54" s="1">
        <f t="shared" si="1"/>
        <v>0.42569444444444449</v>
      </c>
      <c r="F54" s="3">
        <v>46132</v>
      </c>
    </row>
    <row r="55" spans="1:6" x14ac:dyDescent="0.3">
      <c r="A55" t="s">
        <v>63</v>
      </c>
      <c r="B55">
        <v>120</v>
      </c>
      <c r="C55" s="2">
        <f t="shared" si="2"/>
        <v>3.9499999999999534E-4</v>
      </c>
      <c r="D55">
        <v>0.82120000000000004</v>
      </c>
      <c r="E55" s="1">
        <f t="shared" si="1"/>
        <v>0.42708333333333337</v>
      </c>
      <c r="F55" s="3">
        <v>46132</v>
      </c>
    </row>
    <row r="56" spans="1:6" x14ac:dyDescent="0.3">
      <c r="A56" t="s">
        <v>64</v>
      </c>
      <c r="B56">
        <v>120</v>
      </c>
      <c r="C56" s="2">
        <f t="shared" si="2"/>
        <v>1.0249999999999871E-3</v>
      </c>
      <c r="D56">
        <v>3.6030000000000002</v>
      </c>
      <c r="E56" s="1">
        <f t="shared" si="1"/>
        <v>0.42847222222222225</v>
      </c>
      <c r="F56" s="3">
        <v>46132</v>
      </c>
    </row>
    <row r="57" spans="1:6" x14ac:dyDescent="0.3">
      <c r="A57" t="s">
        <v>65</v>
      </c>
      <c r="B57">
        <v>120</v>
      </c>
      <c r="C57" s="2">
        <f t="shared" si="2"/>
        <v>1.0800000000000033E-3</v>
      </c>
      <c r="D57">
        <v>1.5641</v>
      </c>
      <c r="E57" s="1">
        <f t="shared" si="1"/>
        <v>0.42986111111111119</v>
      </c>
      <c r="F57" s="3">
        <v>46132</v>
      </c>
    </row>
    <row r="58" spans="1:6" x14ac:dyDescent="0.3">
      <c r="A58" t="s">
        <v>59</v>
      </c>
      <c r="B58">
        <v>140</v>
      </c>
      <c r="C58" s="2">
        <f t="shared" si="2"/>
        <v>1.6799999999999927E-3</v>
      </c>
      <c r="D58">
        <v>2.6454</v>
      </c>
      <c r="E58" s="1">
        <f t="shared" si="1"/>
        <v>0.43541666666666673</v>
      </c>
      <c r="F58" s="3">
        <v>46132</v>
      </c>
    </row>
    <row r="59" spans="1:6" x14ac:dyDescent="0.3">
      <c r="A59" t="s">
        <v>60</v>
      </c>
      <c r="B59">
        <v>140</v>
      </c>
      <c r="C59" s="2">
        <f t="shared" si="2"/>
        <v>1.0399999999999964E-3</v>
      </c>
      <c r="D59">
        <v>1.4569000000000001</v>
      </c>
      <c r="E59" s="1">
        <f t="shared" si="1"/>
        <v>0.43680555555555561</v>
      </c>
      <c r="F59" s="3">
        <v>46132</v>
      </c>
    </row>
    <row r="60" spans="1:6" x14ac:dyDescent="0.3">
      <c r="A60" t="s">
        <v>61</v>
      </c>
      <c r="B60">
        <v>140</v>
      </c>
      <c r="C60" s="2">
        <f t="shared" si="2"/>
        <v>9.0999999999999968E-4</v>
      </c>
      <c r="D60">
        <v>1.9379</v>
      </c>
      <c r="E60" s="1">
        <f t="shared" si="1"/>
        <v>0.4381944444444445</v>
      </c>
      <c r="F60" s="3">
        <v>46132</v>
      </c>
    </row>
    <row r="61" spans="1:6" x14ac:dyDescent="0.3">
      <c r="A61" t="s">
        <v>62</v>
      </c>
      <c r="B61">
        <v>140</v>
      </c>
      <c r="C61" s="2">
        <f t="shared" si="2"/>
        <v>9.549999999999947E-4</v>
      </c>
      <c r="D61">
        <v>1.8097000000000001</v>
      </c>
      <c r="E61" s="1">
        <f t="shared" si="1"/>
        <v>0.43958333333333338</v>
      </c>
      <c r="F61" s="3">
        <v>46132</v>
      </c>
    </row>
    <row r="62" spans="1:6" x14ac:dyDescent="0.3">
      <c r="A62" t="s">
        <v>63</v>
      </c>
      <c r="B62">
        <v>140</v>
      </c>
      <c r="C62" s="2">
        <f t="shared" si="2"/>
        <v>4.3500000000000206E-4</v>
      </c>
      <c r="D62">
        <v>0.8125</v>
      </c>
      <c r="E62" s="1">
        <f t="shared" si="1"/>
        <v>0.44097222222222227</v>
      </c>
      <c r="F62" s="3">
        <v>46132</v>
      </c>
    </row>
    <row r="63" spans="1:6" x14ac:dyDescent="0.3">
      <c r="A63" t="s">
        <v>64</v>
      </c>
      <c r="B63">
        <v>140</v>
      </c>
      <c r="C63" s="2">
        <f t="shared" si="2"/>
        <v>9.000000000000119E-4</v>
      </c>
      <c r="D63">
        <v>3.585</v>
      </c>
      <c r="E63" s="1">
        <f t="shared" si="1"/>
        <v>0.44236111111111115</v>
      </c>
      <c r="F63" s="3">
        <v>46132</v>
      </c>
    </row>
    <row r="64" spans="1:6" x14ac:dyDescent="0.3">
      <c r="A64" t="s">
        <v>65</v>
      </c>
      <c r="B64">
        <v>140</v>
      </c>
      <c r="C64" s="2">
        <f t="shared" si="2"/>
        <v>9.2499999999999809E-4</v>
      </c>
      <c r="D64">
        <v>1.5456000000000001</v>
      </c>
      <c r="E64" s="1">
        <f t="shared" si="1"/>
        <v>0.44375000000000009</v>
      </c>
      <c r="F64" s="3">
        <v>46132</v>
      </c>
    </row>
    <row r="65" spans="1:6" x14ac:dyDescent="0.3">
      <c r="A65" t="s">
        <v>59</v>
      </c>
      <c r="B65">
        <v>160</v>
      </c>
      <c r="C65" s="2">
        <f t="shared" si="2"/>
        <v>1.8650000000000055E-3</v>
      </c>
      <c r="D65">
        <v>2.6080999999999999</v>
      </c>
      <c r="E65" s="1">
        <f t="shared" si="1"/>
        <v>0.44930555555555562</v>
      </c>
      <c r="F65" s="3">
        <v>46132</v>
      </c>
    </row>
    <row r="66" spans="1:6" x14ac:dyDescent="0.3">
      <c r="A66" t="s">
        <v>60</v>
      </c>
      <c r="B66">
        <v>160</v>
      </c>
      <c r="C66" s="2">
        <f t="shared" si="2"/>
        <v>9.9500000000000153E-4</v>
      </c>
      <c r="D66">
        <v>1.4370000000000001</v>
      </c>
      <c r="E66" s="1">
        <f t="shared" si="1"/>
        <v>0.45069444444444451</v>
      </c>
      <c r="F66" s="3">
        <v>46132</v>
      </c>
    </row>
    <row r="67" spans="1:6" x14ac:dyDescent="0.3">
      <c r="A67" t="s">
        <v>61</v>
      </c>
      <c r="B67">
        <v>160</v>
      </c>
      <c r="C67" s="2">
        <f t="shared" si="2"/>
        <v>9.2499999999999809E-4</v>
      </c>
      <c r="D67">
        <v>1.9194</v>
      </c>
      <c r="E67" s="1">
        <f t="shared" si="1"/>
        <v>0.45208333333333339</v>
      </c>
      <c r="F67" s="3">
        <v>46132</v>
      </c>
    </row>
    <row r="68" spans="1:6" x14ac:dyDescent="0.3">
      <c r="A68" t="s">
        <v>62</v>
      </c>
      <c r="B68">
        <v>160</v>
      </c>
      <c r="C68" s="2">
        <f t="shared" si="2"/>
        <v>8.4000000000000741E-4</v>
      </c>
      <c r="D68">
        <v>1.7928999999999999</v>
      </c>
      <c r="E68" s="1">
        <f t="shared" si="1"/>
        <v>0.45347222222222228</v>
      </c>
      <c r="F68" s="3">
        <v>46132</v>
      </c>
    </row>
    <row r="69" spans="1:6" x14ac:dyDescent="0.3">
      <c r="A69" t="s">
        <v>63</v>
      </c>
      <c r="B69">
        <v>160</v>
      </c>
      <c r="C69" s="2">
        <f t="shared" si="2"/>
        <v>4.3000000000000259E-4</v>
      </c>
      <c r="D69">
        <v>0.80389999999999995</v>
      </c>
      <c r="E69" s="1">
        <f t="shared" si="1"/>
        <v>0.45486111111111116</v>
      </c>
      <c r="F69" s="3">
        <v>46132</v>
      </c>
    </row>
    <row r="70" spans="1:6" x14ac:dyDescent="0.3">
      <c r="A70" t="s">
        <v>64</v>
      </c>
      <c r="B70">
        <v>160</v>
      </c>
      <c r="C70" s="2">
        <f t="shared" si="2"/>
        <v>9.0500000000000021E-4</v>
      </c>
      <c r="D70">
        <v>3.5669</v>
      </c>
      <c r="E70" s="1">
        <f t="shared" si="1"/>
        <v>0.45625000000000004</v>
      </c>
      <c r="F70" s="3">
        <v>46132</v>
      </c>
    </row>
    <row r="71" spans="1:6" x14ac:dyDescent="0.3">
      <c r="A71" t="s">
        <v>65</v>
      </c>
      <c r="B71">
        <v>160</v>
      </c>
      <c r="C71" s="2">
        <f t="shared" si="2"/>
        <v>9.9000000000000195E-4</v>
      </c>
      <c r="D71">
        <v>1.5258</v>
      </c>
      <c r="E71" s="1">
        <f t="shared" si="1"/>
        <v>0.45763888888888898</v>
      </c>
      <c r="F71" s="3">
        <v>46132</v>
      </c>
    </row>
    <row r="72" spans="1:6" x14ac:dyDescent="0.3">
      <c r="A72" t="s">
        <v>59</v>
      </c>
      <c r="B72">
        <v>180</v>
      </c>
      <c r="C72" s="2">
        <f t="shared" si="2"/>
        <v>1.2599999999999944E-3</v>
      </c>
      <c r="D72">
        <v>2.5829</v>
      </c>
      <c r="E72" s="1">
        <f t="shared" si="1"/>
        <v>0.46319444444444452</v>
      </c>
      <c r="F72" s="3">
        <v>46132</v>
      </c>
    </row>
    <row r="73" spans="1:6" x14ac:dyDescent="0.3">
      <c r="A73" t="s">
        <v>60</v>
      </c>
      <c r="B73">
        <v>180</v>
      </c>
      <c r="C73" s="2">
        <f t="shared" si="2"/>
        <v>8.5500000000000571E-4</v>
      </c>
      <c r="D73">
        <v>1.4198999999999999</v>
      </c>
      <c r="E73" s="1">
        <f t="shared" si="1"/>
        <v>0.4645833333333334</v>
      </c>
      <c r="F73" s="3">
        <v>46132</v>
      </c>
    </row>
    <row r="74" spans="1:6" x14ac:dyDescent="0.3">
      <c r="A74" t="s">
        <v>61</v>
      </c>
      <c r="B74">
        <v>180</v>
      </c>
      <c r="C74" s="2">
        <f t="shared" si="2"/>
        <v>1.1050000000000005E-3</v>
      </c>
      <c r="D74">
        <v>1.8973</v>
      </c>
      <c r="E74" s="1">
        <f t="shared" si="1"/>
        <v>0.46597222222222229</v>
      </c>
      <c r="F74" s="3">
        <v>46132</v>
      </c>
    </row>
    <row r="75" spans="1:6" x14ac:dyDescent="0.3">
      <c r="A75" t="s">
        <v>62</v>
      </c>
      <c r="B75">
        <v>180</v>
      </c>
      <c r="C75" s="2">
        <f t="shared" si="2"/>
        <v>7.7999999999999185E-4</v>
      </c>
      <c r="D75">
        <v>1.7773000000000001</v>
      </c>
      <c r="E75" s="1">
        <f t="shared" si="1"/>
        <v>0.46736111111111117</v>
      </c>
      <c r="F75" s="3">
        <v>46132</v>
      </c>
    </row>
    <row r="76" spans="1:6" x14ac:dyDescent="0.3">
      <c r="A76" t="s">
        <v>63</v>
      </c>
      <c r="B76">
        <v>180</v>
      </c>
      <c r="C76" s="2">
        <f t="shared" si="2"/>
        <v>4.0999999999999923E-4</v>
      </c>
      <c r="D76">
        <v>0.79569999999999996</v>
      </c>
      <c r="E76" s="1">
        <f t="shared" si="1"/>
        <v>0.46875000000000006</v>
      </c>
      <c r="F76" s="3">
        <v>46132</v>
      </c>
    </row>
    <row r="77" spans="1:6" x14ac:dyDescent="0.3">
      <c r="A77" t="s">
        <v>64</v>
      </c>
      <c r="B77">
        <v>180</v>
      </c>
      <c r="C77" s="2">
        <f t="shared" si="2"/>
        <v>8.4500000000000688E-4</v>
      </c>
      <c r="D77">
        <v>3.55</v>
      </c>
      <c r="E77" s="1">
        <f t="shared" si="1"/>
        <v>0.47013888888888894</v>
      </c>
      <c r="F77" s="3">
        <v>46132</v>
      </c>
    </row>
    <row r="78" spans="1:6" x14ac:dyDescent="0.3">
      <c r="A78" t="s">
        <v>65</v>
      </c>
      <c r="B78">
        <v>180</v>
      </c>
      <c r="C78" s="2">
        <f t="shared" si="2"/>
        <v>9.3499999999999692E-4</v>
      </c>
      <c r="D78">
        <v>1.5071000000000001</v>
      </c>
      <c r="E78" s="1">
        <f t="shared" si="1"/>
        <v>0.47152777777777788</v>
      </c>
      <c r="F78" s="3">
        <v>46132</v>
      </c>
    </row>
    <row r="79" spans="1:6" x14ac:dyDescent="0.3">
      <c r="A79" t="s">
        <v>59</v>
      </c>
      <c r="B79">
        <v>200</v>
      </c>
      <c r="C79" s="2">
        <f t="shared" si="2"/>
        <v>1.5400000000000079E-3</v>
      </c>
      <c r="D79">
        <v>2.5520999999999998</v>
      </c>
      <c r="E79" s="1">
        <f t="shared" si="1"/>
        <v>0.47708333333333341</v>
      </c>
      <c r="F79" s="3">
        <v>46132</v>
      </c>
    </row>
    <row r="80" spans="1:6" x14ac:dyDescent="0.3">
      <c r="A80" t="s">
        <v>60</v>
      </c>
      <c r="B80">
        <v>200</v>
      </c>
      <c r="C80" s="2">
        <f t="shared" si="2"/>
        <v>9.1499999999999915E-4</v>
      </c>
      <c r="D80">
        <v>1.4016</v>
      </c>
      <c r="E80" s="1">
        <f t="shared" ref="E80:E106" si="3">E73+(20/1440)</f>
        <v>0.4784722222222223</v>
      </c>
      <c r="F80" s="3">
        <v>46132</v>
      </c>
    </row>
    <row r="81" spans="1:6" x14ac:dyDescent="0.3">
      <c r="A81" t="s">
        <v>61</v>
      </c>
      <c r="B81">
        <v>200</v>
      </c>
      <c r="C81" s="2">
        <f t="shared" ref="C81:C106" si="4">(D74-D81)/20</f>
        <v>9.9000000000000195E-4</v>
      </c>
      <c r="D81">
        <v>1.8774999999999999</v>
      </c>
      <c r="E81" s="1">
        <f t="shared" si="3"/>
        <v>0.47986111111111118</v>
      </c>
      <c r="F81" s="3">
        <v>46132</v>
      </c>
    </row>
    <row r="82" spans="1:6" x14ac:dyDescent="0.3">
      <c r="A82" t="s">
        <v>62</v>
      </c>
      <c r="B82">
        <v>200</v>
      </c>
      <c r="C82" s="2">
        <f t="shared" si="4"/>
        <v>8.2000000000000963E-4</v>
      </c>
      <c r="D82">
        <v>1.7608999999999999</v>
      </c>
      <c r="E82" s="1">
        <f t="shared" si="3"/>
        <v>0.48125000000000007</v>
      </c>
      <c r="F82" s="3">
        <v>46132</v>
      </c>
    </row>
    <row r="83" spans="1:6" x14ac:dyDescent="0.3">
      <c r="A83" t="s">
        <v>63</v>
      </c>
      <c r="B83">
        <v>200</v>
      </c>
      <c r="C83" s="2">
        <f t="shared" si="4"/>
        <v>4.149999999999987E-4</v>
      </c>
      <c r="D83">
        <v>0.78739999999999999</v>
      </c>
      <c r="E83" s="1">
        <f t="shared" si="3"/>
        <v>0.48263888888888895</v>
      </c>
      <c r="F83" s="3">
        <v>46132</v>
      </c>
    </row>
    <row r="84" spans="1:6" x14ac:dyDescent="0.3">
      <c r="A84" t="s">
        <v>64</v>
      </c>
      <c r="B84">
        <v>200</v>
      </c>
      <c r="C84" s="2">
        <f t="shared" si="4"/>
        <v>8.3499999999998571E-4</v>
      </c>
      <c r="D84">
        <v>3.5333000000000001</v>
      </c>
      <c r="E84" s="1">
        <f t="shared" si="3"/>
        <v>0.48402777777777783</v>
      </c>
      <c r="F84" s="3">
        <v>46132</v>
      </c>
    </row>
    <row r="85" spans="1:6" x14ac:dyDescent="0.3">
      <c r="A85" t="s">
        <v>65</v>
      </c>
      <c r="B85">
        <v>200</v>
      </c>
      <c r="C85" s="5">
        <f t="shared" si="4"/>
        <v>8.8500000000000243E-4</v>
      </c>
      <c r="D85">
        <v>1.4894000000000001</v>
      </c>
      <c r="E85" s="1">
        <f t="shared" si="3"/>
        <v>0.48541666666666677</v>
      </c>
      <c r="F85" s="3">
        <v>46132</v>
      </c>
    </row>
    <row r="86" spans="1:6" x14ac:dyDescent="0.3">
      <c r="A86" t="s">
        <v>59</v>
      </c>
      <c r="B86">
        <v>220</v>
      </c>
      <c r="C86" s="5">
        <f t="shared" si="4"/>
        <v>1.5549999999999952E-3</v>
      </c>
      <c r="D86">
        <v>2.5209999999999999</v>
      </c>
      <c r="E86" s="1">
        <f t="shared" si="3"/>
        <v>0.49097222222222231</v>
      </c>
      <c r="F86" s="3">
        <v>46132</v>
      </c>
    </row>
    <row r="87" spans="1:6" x14ac:dyDescent="0.3">
      <c r="A87" t="s">
        <v>60</v>
      </c>
      <c r="B87">
        <v>220</v>
      </c>
      <c r="C87" s="2">
        <f t="shared" si="4"/>
        <v>9.0500000000000021E-4</v>
      </c>
      <c r="D87">
        <v>1.3835</v>
      </c>
      <c r="E87" s="1">
        <f t="shared" si="3"/>
        <v>0.49236111111111119</v>
      </c>
      <c r="F87" s="3">
        <v>46132</v>
      </c>
    </row>
    <row r="88" spans="1:6" x14ac:dyDescent="0.3">
      <c r="A88" t="s">
        <v>61</v>
      </c>
      <c r="B88">
        <v>220</v>
      </c>
      <c r="C88" s="5">
        <f t="shared" si="4"/>
        <v>9.9000000000000195E-4</v>
      </c>
      <c r="D88">
        <v>1.8576999999999999</v>
      </c>
      <c r="E88" s="1">
        <f t="shared" si="3"/>
        <v>0.49375000000000008</v>
      </c>
      <c r="F88" s="3">
        <v>46132</v>
      </c>
    </row>
    <row r="89" spans="1:6" x14ac:dyDescent="0.3">
      <c r="A89" t="s">
        <v>62</v>
      </c>
      <c r="B89">
        <v>220</v>
      </c>
      <c r="C89" s="5">
        <f t="shared" si="4"/>
        <v>8.1999999999999846E-4</v>
      </c>
      <c r="D89">
        <v>1.7444999999999999</v>
      </c>
      <c r="E89" s="1">
        <f t="shared" si="3"/>
        <v>0.49513888888888896</v>
      </c>
      <c r="F89" s="3">
        <v>46132</v>
      </c>
    </row>
    <row r="90" spans="1:6" x14ac:dyDescent="0.3">
      <c r="A90" t="s">
        <v>63</v>
      </c>
      <c r="B90">
        <v>220</v>
      </c>
      <c r="C90" s="5">
        <f t="shared" si="4"/>
        <v>3.9500000000000093E-4</v>
      </c>
      <c r="D90">
        <v>0.77949999999999997</v>
      </c>
      <c r="E90" s="1">
        <f t="shared" si="3"/>
        <v>0.49652777777777785</v>
      </c>
      <c r="F90" s="3">
        <v>46132</v>
      </c>
    </row>
    <row r="91" spans="1:6" x14ac:dyDescent="0.3">
      <c r="A91" t="s">
        <v>64</v>
      </c>
      <c r="B91">
        <v>220</v>
      </c>
      <c r="C91" s="5">
        <f t="shared" si="4"/>
        <v>8.5500000000000571E-4</v>
      </c>
      <c r="D91">
        <v>3.5162</v>
      </c>
      <c r="E91" s="1">
        <f t="shared" si="3"/>
        <v>0.49791666666666673</v>
      </c>
      <c r="F91" s="3">
        <v>46132</v>
      </c>
    </row>
    <row r="92" spans="1:6" x14ac:dyDescent="0.3">
      <c r="A92" t="s">
        <v>65</v>
      </c>
      <c r="B92">
        <v>220</v>
      </c>
      <c r="C92" s="5">
        <f t="shared" si="4"/>
        <v>1.0149999999999992E-3</v>
      </c>
      <c r="D92">
        <v>1.4691000000000001</v>
      </c>
      <c r="E92" s="1">
        <f t="shared" si="3"/>
        <v>0.49930555555555567</v>
      </c>
      <c r="F92" s="3">
        <v>46132</v>
      </c>
    </row>
    <row r="93" spans="1:6" x14ac:dyDescent="0.3">
      <c r="A93" t="s">
        <v>59</v>
      </c>
      <c r="B93">
        <v>240</v>
      </c>
      <c r="C93" s="5">
        <f t="shared" si="4"/>
        <v>1.4000000000000013E-3</v>
      </c>
      <c r="D93">
        <v>2.4929999999999999</v>
      </c>
      <c r="E93" s="1">
        <f t="shared" si="3"/>
        <v>0.5048611111111112</v>
      </c>
      <c r="F93" s="3">
        <v>46132</v>
      </c>
    </row>
    <row r="94" spans="1:6" x14ac:dyDescent="0.3">
      <c r="A94" t="s">
        <v>60</v>
      </c>
      <c r="B94">
        <v>240</v>
      </c>
      <c r="C94" s="2">
        <f t="shared" si="4"/>
        <v>9.1499999999999915E-4</v>
      </c>
      <c r="D94">
        <v>1.3652</v>
      </c>
      <c r="E94" s="1">
        <f t="shared" si="3"/>
        <v>0.50625000000000009</v>
      </c>
      <c r="F94" s="3">
        <v>46132</v>
      </c>
    </row>
    <row r="95" spans="1:6" x14ac:dyDescent="0.3">
      <c r="A95" t="s">
        <v>61</v>
      </c>
      <c r="B95">
        <v>240</v>
      </c>
      <c r="C95" s="5">
        <f t="shared" si="4"/>
        <v>1.0199999999999988E-3</v>
      </c>
      <c r="D95">
        <v>1.8372999999999999</v>
      </c>
      <c r="E95" s="1">
        <f t="shared" si="3"/>
        <v>0.50763888888888897</v>
      </c>
      <c r="F95" s="3">
        <v>46132</v>
      </c>
    </row>
    <row r="96" spans="1:6" x14ac:dyDescent="0.3">
      <c r="A96" t="s">
        <v>62</v>
      </c>
      <c r="B96">
        <v>240</v>
      </c>
      <c r="C96" s="5">
        <f t="shared" si="4"/>
        <v>8.4999999999999518E-4</v>
      </c>
      <c r="D96">
        <v>1.7275</v>
      </c>
      <c r="E96" s="1">
        <f t="shared" si="3"/>
        <v>0.50902777777777786</v>
      </c>
      <c r="F96" s="3">
        <v>46132</v>
      </c>
    </row>
    <row r="97" spans="1:6" x14ac:dyDescent="0.3">
      <c r="A97" t="s">
        <v>63</v>
      </c>
      <c r="B97">
        <v>240</v>
      </c>
      <c r="C97" s="5">
        <f t="shared" si="4"/>
        <v>4.2499999999999759E-4</v>
      </c>
      <c r="D97">
        <v>0.77100000000000002</v>
      </c>
      <c r="E97" s="1">
        <f t="shared" si="3"/>
        <v>0.51041666666666674</v>
      </c>
      <c r="F97" s="3">
        <v>46132</v>
      </c>
    </row>
    <row r="98" spans="1:6" x14ac:dyDescent="0.3">
      <c r="A98" t="s">
        <v>64</v>
      </c>
      <c r="B98">
        <v>240</v>
      </c>
      <c r="C98" s="5">
        <f t="shared" si="4"/>
        <v>8.6999999999999296E-4</v>
      </c>
      <c r="D98">
        <v>3.4988000000000001</v>
      </c>
      <c r="E98" s="1">
        <f t="shared" si="3"/>
        <v>0.51180555555555562</v>
      </c>
      <c r="F98" s="3">
        <v>46132</v>
      </c>
    </row>
    <row r="99" spans="1:6" x14ac:dyDescent="0.3">
      <c r="A99" t="s">
        <v>65</v>
      </c>
      <c r="B99">
        <v>240</v>
      </c>
      <c r="C99" s="5">
        <f t="shared" si="4"/>
        <v>8.3000000000000847E-4</v>
      </c>
      <c r="D99">
        <v>1.4524999999999999</v>
      </c>
      <c r="E99" s="1">
        <f t="shared" si="3"/>
        <v>0.51319444444444451</v>
      </c>
      <c r="F99" s="3">
        <v>46132</v>
      </c>
    </row>
    <row r="100" spans="1:6" x14ac:dyDescent="0.3">
      <c r="A100" t="s">
        <v>59</v>
      </c>
      <c r="B100">
        <v>260</v>
      </c>
      <c r="C100" s="5">
        <f t="shared" si="4"/>
        <v>1.4799999999999924E-3</v>
      </c>
      <c r="D100">
        <v>2.4634</v>
      </c>
      <c r="E100" s="1">
        <f t="shared" si="3"/>
        <v>0.51875000000000004</v>
      </c>
      <c r="F100" s="3">
        <v>46132</v>
      </c>
    </row>
    <row r="101" spans="1:6" x14ac:dyDescent="0.3">
      <c r="A101" t="s">
        <v>60</v>
      </c>
      <c r="B101">
        <v>260</v>
      </c>
      <c r="C101" s="5">
        <f t="shared" si="4"/>
        <v>9.1999999999999862E-4</v>
      </c>
      <c r="D101">
        <v>1.3468</v>
      </c>
      <c r="E101" s="1">
        <f t="shared" si="3"/>
        <v>0.52013888888888893</v>
      </c>
      <c r="F101" s="3">
        <v>46132</v>
      </c>
    </row>
    <row r="102" spans="1:6" x14ac:dyDescent="0.3">
      <c r="A102" t="s">
        <v>61</v>
      </c>
      <c r="B102">
        <v>260</v>
      </c>
      <c r="C102" s="5">
        <f t="shared" si="4"/>
        <v>1.0499999999999954E-3</v>
      </c>
      <c r="D102">
        <v>1.8163</v>
      </c>
      <c r="E102" s="1">
        <f t="shared" si="3"/>
        <v>0.52152777777777781</v>
      </c>
      <c r="F102" s="3">
        <v>46132</v>
      </c>
    </row>
    <row r="103" spans="1:6" x14ac:dyDescent="0.3">
      <c r="A103" t="s">
        <v>62</v>
      </c>
      <c r="B103">
        <v>260</v>
      </c>
      <c r="C103" s="5">
        <f t="shared" si="4"/>
        <v>7.500000000000062E-4</v>
      </c>
      <c r="D103">
        <v>1.7124999999999999</v>
      </c>
      <c r="E103" s="1">
        <f t="shared" si="3"/>
        <v>0.5229166666666667</v>
      </c>
      <c r="F103" s="3">
        <v>46132</v>
      </c>
    </row>
    <row r="104" spans="1:6" x14ac:dyDescent="0.3">
      <c r="A104" t="s">
        <v>63</v>
      </c>
      <c r="B104">
        <v>260</v>
      </c>
      <c r="C104" s="5">
        <f t="shared" si="4"/>
        <v>3.4000000000000143E-4</v>
      </c>
      <c r="D104">
        <v>0.76419999999999999</v>
      </c>
      <c r="E104" s="1">
        <f t="shared" si="3"/>
        <v>0.52430555555555558</v>
      </c>
      <c r="F104" s="3">
        <v>46132</v>
      </c>
    </row>
    <row r="105" spans="1:6" x14ac:dyDescent="0.3">
      <c r="A105" t="s">
        <v>64</v>
      </c>
      <c r="B105">
        <v>260</v>
      </c>
      <c r="C105" s="5">
        <f t="shared" si="4"/>
        <v>7.7000000000000397E-4</v>
      </c>
      <c r="D105">
        <v>3.4834000000000001</v>
      </c>
      <c r="E105" s="1">
        <f t="shared" si="3"/>
        <v>0.52569444444444446</v>
      </c>
      <c r="F105" s="3">
        <v>46132</v>
      </c>
    </row>
    <row r="106" spans="1:6" x14ac:dyDescent="0.3">
      <c r="A106" t="s">
        <v>65</v>
      </c>
      <c r="B106">
        <v>260</v>
      </c>
      <c r="C106" s="5">
        <f t="shared" si="4"/>
        <v>9.1499999999999915E-4</v>
      </c>
      <c r="D106">
        <v>1.4341999999999999</v>
      </c>
      <c r="E106" s="1">
        <f t="shared" si="3"/>
        <v>0.52708333333333335</v>
      </c>
      <c r="F106" s="3">
        <v>46132</v>
      </c>
    </row>
    <row r="107" spans="1:6" x14ac:dyDescent="0.3">
      <c r="C107" s="5"/>
      <c r="E107" s="1"/>
    </row>
    <row r="108" spans="1:6" x14ac:dyDescent="0.3">
      <c r="C108" s="5"/>
      <c r="E108" s="1"/>
    </row>
    <row r="109" spans="1:6" x14ac:dyDescent="0.3">
      <c r="C109" s="5"/>
      <c r="E109" s="1"/>
    </row>
    <row r="110" spans="1:6" x14ac:dyDescent="0.3">
      <c r="C110" s="5"/>
      <c r="E110" s="1"/>
    </row>
    <row r="111" spans="1:6" x14ac:dyDescent="0.3">
      <c r="C111" s="5"/>
      <c r="E111" s="1"/>
    </row>
    <row r="112" spans="1:6" x14ac:dyDescent="0.3">
      <c r="C112" s="5"/>
      <c r="E112" s="1"/>
    </row>
    <row r="113" spans="3:5" x14ac:dyDescent="0.3">
      <c r="C113" s="5"/>
      <c r="E113" s="1"/>
    </row>
    <row r="114" spans="3:5" x14ac:dyDescent="0.3">
      <c r="C114" s="5"/>
      <c r="E114" s="1"/>
    </row>
    <row r="115" spans="3:5" x14ac:dyDescent="0.3">
      <c r="C115" s="5"/>
      <c r="E115" s="1"/>
    </row>
    <row r="116" spans="3:5" x14ac:dyDescent="0.3">
      <c r="C116" s="5"/>
      <c r="E116" s="1"/>
    </row>
    <row r="117" spans="3:5" x14ac:dyDescent="0.3">
      <c r="C117" s="5"/>
      <c r="E117" s="1"/>
    </row>
    <row r="118" spans="3:5" x14ac:dyDescent="0.3">
      <c r="C118" s="5"/>
      <c r="E118" s="1"/>
    </row>
    <row r="119" spans="3:5" x14ac:dyDescent="0.3">
      <c r="C119" s="5"/>
      <c r="E119" s="1"/>
    </row>
    <row r="120" spans="3:5" x14ac:dyDescent="0.3">
      <c r="C120" s="5"/>
      <c r="E120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B6E18-6CDD-4229-9877-D074BB6F5234}">
  <dimension ref="A1:I151"/>
  <sheetViews>
    <sheetView tabSelected="1" workbookViewId="0">
      <selection activeCell="B5" sqref="B5"/>
    </sheetView>
  </sheetViews>
  <sheetFormatPr baseColWidth="10" defaultRowHeight="14.4" x14ac:dyDescent="0.3"/>
  <cols>
    <col min="3" max="3" width="12.33203125" customWidth="1"/>
    <col min="5" max="5" width="15.21875" bestFit="1" customWidth="1"/>
  </cols>
  <sheetData>
    <row r="1" spans="1:9" x14ac:dyDescent="0.3">
      <c r="A1" t="s">
        <v>0</v>
      </c>
      <c r="B1" t="s">
        <v>21</v>
      </c>
      <c r="C1" t="s">
        <v>31</v>
      </c>
      <c r="D1" t="s">
        <v>11</v>
      </c>
      <c r="E1" t="s">
        <v>8</v>
      </c>
      <c r="F1" t="s">
        <v>20</v>
      </c>
    </row>
    <row r="2" spans="1:9" x14ac:dyDescent="0.3">
      <c r="A2" t="s">
        <v>67</v>
      </c>
      <c r="C2" t="s">
        <v>57</v>
      </c>
      <c r="D2">
        <v>2.3275999999999999</v>
      </c>
      <c r="E2" s="1">
        <v>0.32291666666666669</v>
      </c>
      <c r="F2" s="3">
        <v>46134</v>
      </c>
    </row>
    <row r="3" spans="1:9" x14ac:dyDescent="0.3">
      <c r="A3" s="6" t="s">
        <v>68</v>
      </c>
      <c r="C3" t="s">
        <v>57</v>
      </c>
      <c r="D3">
        <v>3.2938999999999998</v>
      </c>
      <c r="E3" s="1">
        <v>0.32430555555555557</v>
      </c>
      <c r="F3" s="3">
        <v>46134</v>
      </c>
      <c r="I3" t="s">
        <v>70</v>
      </c>
    </row>
    <row r="4" spans="1:9" x14ac:dyDescent="0.3">
      <c r="A4" t="s">
        <v>195</v>
      </c>
      <c r="C4" t="s">
        <v>57</v>
      </c>
      <c r="D4">
        <v>2.4137</v>
      </c>
      <c r="E4" s="1">
        <v>0.32500000000000001</v>
      </c>
      <c r="F4" s="3">
        <v>46134</v>
      </c>
    </row>
    <row r="5" spans="1:9" x14ac:dyDescent="0.3">
      <c r="A5" s="6" t="s">
        <v>3</v>
      </c>
      <c r="C5" t="s">
        <v>57</v>
      </c>
      <c r="D5">
        <v>2.8531</v>
      </c>
      <c r="E5" s="1">
        <v>0.3263888888888889</v>
      </c>
      <c r="F5" s="3">
        <v>46134</v>
      </c>
    </row>
    <row r="6" spans="1:9" x14ac:dyDescent="0.3">
      <c r="A6" s="6" t="s">
        <v>71</v>
      </c>
      <c r="C6" t="s">
        <v>57</v>
      </c>
      <c r="D6">
        <v>2.3696999999999999</v>
      </c>
      <c r="E6" s="1">
        <v>0.32708333333333334</v>
      </c>
      <c r="F6" s="3">
        <v>46134</v>
      </c>
    </row>
    <row r="7" spans="1:9" x14ac:dyDescent="0.3">
      <c r="A7" s="6" t="s">
        <v>72</v>
      </c>
      <c r="C7" t="s">
        <v>57</v>
      </c>
      <c r="D7">
        <v>2.5568</v>
      </c>
      <c r="E7" s="1">
        <v>0.32777777777777778</v>
      </c>
      <c r="F7" s="3">
        <v>46134</v>
      </c>
    </row>
    <row r="8" spans="1:9" x14ac:dyDescent="0.3">
      <c r="A8" s="6" t="s">
        <v>73</v>
      </c>
      <c r="C8" t="s">
        <v>57</v>
      </c>
      <c r="D8">
        <v>1.5932999999999999</v>
      </c>
      <c r="E8" s="1">
        <v>0.32847222222222222</v>
      </c>
      <c r="F8" s="3">
        <v>46134</v>
      </c>
    </row>
    <row r="9" spans="1:9" x14ac:dyDescent="0.3">
      <c r="A9" s="6" t="s">
        <v>74</v>
      </c>
      <c r="C9" t="s">
        <v>57</v>
      </c>
      <c r="D9">
        <v>2.2046000000000001</v>
      </c>
      <c r="E9" s="1">
        <v>0.3298611111111111</v>
      </c>
      <c r="F9" s="3">
        <v>46134</v>
      </c>
    </row>
    <row r="10" spans="1:9" x14ac:dyDescent="0.3">
      <c r="A10" s="6" t="s">
        <v>75</v>
      </c>
      <c r="C10" t="s">
        <v>57</v>
      </c>
      <c r="D10">
        <v>1.6995</v>
      </c>
      <c r="E10" s="1">
        <v>0.33194444444444443</v>
      </c>
      <c r="F10" s="3">
        <v>46134</v>
      </c>
    </row>
    <row r="11" spans="1:9" x14ac:dyDescent="0.3">
      <c r="A11" s="6" t="s">
        <v>76</v>
      </c>
      <c r="C11" t="s">
        <v>57</v>
      </c>
      <c r="D11">
        <v>1.4856</v>
      </c>
      <c r="E11" s="1">
        <v>0.33333333333333331</v>
      </c>
      <c r="F11" s="3">
        <v>46134</v>
      </c>
    </row>
    <row r="12" spans="1:9" x14ac:dyDescent="0.3">
      <c r="A12" t="s">
        <v>67</v>
      </c>
      <c r="B12">
        <v>0</v>
      </c>
      <c r="C12">
        <v>0</v>
      </c>
      <c r="D12">
        <v>2.2999999999999998</v>
      </c>
      <c r="E12" s="1">
        <f>E2+20/1440</f>
        <v>0.33680555555555558</v>
      </c>
      <c r="F12" s="3">
        <v>46134</v>
      </c>
    </row>
    <row r="13" spans="1:9" x14ac:dyDescent="0.3">
      <c r="A13" t="s">
        <v>68</v>
      </c>
      <c r="B13">
        <v>0</v>
      </c>
      <c r="C13">
        <v>0</v>
      </c>
      <c r="D13">
        <v>3.2515000000000001</v>
      </c>
      <c r="E13" s="1">
        <f t="shared" ref="E13:E21" si="0">E3+20/1440</f>
        <v>0.33819444444444446</v>
      </c>
      <c r="F13" s="3">
        <v>46134</v>
      </c>
    </row>
    <row r="14" spans="1:9" x14ac:dyDescent="0.3">
      <c r="A14" t="s">
        <v>195</v>
      </c>
      <c r="B14">
        <v>0</v>
      </c>
      <c r="C14">
        <v>0</v>
      </c>
      <c r="D14">
        <v>2.3978999999999999</v>
      </c>
      <c r="E14" s="1">
        <f t="shared" si="0"/>
        <v>0.33888888888888891</v>
      </c>
      <c r="F14" s="3">
        <v>46134</v>
      </c>
    </row>
    <row r="15" spans="1:9" x14ac:dyDescent="0.3">
      <c r="A15" t="s">
        <v>3</v>
      </c>
      <c r="B15">
        <v>0</v>
      </c>
      <c r="C15">
        <v>0</v>
      </c>
      <c r="D15">
        <v>2.8245</v>
      </c>
      <c r="E15" s="1">
        <f t="shared" si="0"/>
        <v>0.34027777777777779</v>
      </c>
      <c r="F15" s="3">
        <v>46134</v>
      </c>
    </row>
    <row r="16" spans="1:9" x14ac:dyDescent="0.3">
      <c r="A16" t="s">
        <v>71</v>
      </c>
      <c r="B16">
        <v>0</v>
      </c>
      <c r="C16">
        <v>0</v>
      </c>
      <c r="D16">
        <v>2.3529</v>
      </c>
      <c r="E16" s="1">
        <f t="shared" si="0"/>
        <v>0.34097222222222223</v>
      </c>
      <c r="F16" s="3">
        <v>46134</v>
      </c>
    </row>
    <row r="17" spans="1:6" x14ac:dyDescent="0.3">
      <c r="A17" t="s">
        <v>72</v>
      </c>
      <c r="B17">
        <v>0</v>
      </c>
      <c r="C17">
        <v>0</v>
      </c>
      <c r="D17">
        <v>2.5215000000000001</v>
      </c>
      <c r="E17" s="1">
        <f t="shared" si="0"/>
        <v>0.34166666666666667</v>
      </c>
      <c r="F17" s="3">
        <v>46134</v>
      </c>
    </row>
    <row r="18" spans="1:6" x14ac:dyDescent="0.3">
      <c r="A18" t="s">
        <v>73</v>
      </c>
      <c r="B18">
        <v>0</v>
      </c>
      <c r="C18">
        <v>0</v>
      </c>
      <c r="D18">
        <v>1.5781000000000001</v>
      </c>
      <c r="E18" s="1">
        <f t="shared" si="0"/>
        <v>0.34236111111111112</v>
      </c>
      <c r="F18" s="3">
        <v>46134</v>
      </c>
    </row>
    <row r="19" spans="1:6" x14ac:dyDescent="0.3">
      <c r="A19" t="s">
        <v>74</v>
      </c>
      <c r="B19">
        <v>0</v>
      </c>
      <c r="C19">
        <v>0</v>
      </c>
      <c r="D19">
        <v>2.1806999999999999</v>
      </c>
      <c r="E19" s="1">
        <f t="shared" si="0"/>
        <v>0.34375</v>
      </c>
      <c r="F19" s="3">
        <v>46134</v>
      </c>
    </row>
    <row r="20" spans="1:6" x14ac:dyDescent="0.3">
      <c r="A20" t="s">
        <v>75</v>
      </c>
      <c r="B20">
        <v>0</v>
      </c>
      <c r="C20">
        <v>0</v>
      </c>
      <c r="D20">
        <v>1.6677</v>
      </c>
      <c r="E20" s="1">
        <f t="shared" si="0"/>
        <v>0.34583333333333333</v>
      </c>
      <c r="F20" s="3">
        <v>46134</v>
      </c>
    </row>
    <row r="21" spans="1:6" x14ac:dyDescent="0.3">
      <c r="A21" t="s">
        <v>76</v>
      </c>
      <c r="B21">
        <v>0</v>
      </c>
      <c r="C21">
        <v>0</v>
      </c>
      <c r="D21">
        <v>1.4547000000000001</v>
      </c>
      <c r="E21" s="1">
        <f t="shared" si="0"/>
        <v>0.34722222222222221</v>
      </c>
      <c r="F21" s="3">
        <v>46134</v>
      </c>
    </row>
    <row r="22" spans="1:6" x14ac:dyDescent="0.3">
      <c r="A22" t="s">
        <v>67</v>
      </c>
      <c r="B22">
        <v>20</v>
      </c>
      <c r="C22" s="5">
        <f>(D12-D22)/20</f>
        <v>7.6999999999998185E-4</v>
      </c>
      <c r="D22">
        <v>2.2846000000000002</v>
      </c>
      <c r="E22" s="1">
        <f>E12+20/1440</f>
        <v>0.35069444444444448</v>
      </c>
      <c r="F22" s="3">
        <v>46134</v>
      </c>
    </row>
    <row r="23" spans="1:6" x14ac:dyDescent="0.3">
      <c r="A23" t="s">
        <v>68</v>
      </c>
      <c r="B23">
        <v>20</v>
      </c>
      <c r="C23" s="5">
        <f t="shared" ref="C23:C86" si="1">(D13-D23)/20</f>
        <v>1.4750000000000041E-3</v>
      </c>
      <c r="D23">
        <v>3.222</v>
      </c>
      <c r="E23" s="1">
        <f t="shared" ref="E23:E27" si="2">E13+20/1440</f>
        <v>0.35208333333333336</v>
      </c>
      <c r="F23" s="3">
        <v>46134</v>
      </c>
    </row>
    <row r="24" spans="1:6" x14ac:dyDescent="0.3">
      <c r="A24" t="s">
        <v>195</v>
      </c>
      <c r="B24">
        <v>20</v>
      </c>
      <c r="C24" s="5">
        <f t="shared" si="1"/>
        <v>8.8500000000000243E-4</v>
      </c>
      <c r="D24">
        <v>2.3801999999999999</v>
      </c>
      <c r="E24" s="1">
        <f t="shared" si="2"/>
        <v>0.3527777777777778</v>
      </c>
      <c r="F24" s="3">
        <v>46134</v>
      </c>
    </row>
    <row r="25" spans="1:6" x14ac:dyDescent="0.3">
      <c r="A25" t="s">
        <v>3</v>
      </c>
      <c r="B25">
        <v>20</v>
      </c>
      <c r="C25" s="2">
        <f t="shared" si="1"/>
        <v>1.1200000000000099E-3</v>
      </c>
      <c r="D25">
        <v>2.8020999999999998</v>
      </c>
      <c r="E25" s="1">
        <f t="shared" si="2"/>
        <v>0.35416666666666669</v>
      </c>
      <c r="F25" s="3">
        <v>46134</v>
      </c>
    </row>
    <row r="26" spans="1:6" x14ac:dyDescent="0.3">
      <c r="A26" t="s">
        <v>71</v>
      </c>
      <c r="B26">
        <v>20</v>
      </c>
      <c r="C26" s="5">
        <f t="shared" si="1"/>
        <v>8.250000000000091E-4</v>
      </c>
      <c r="D26">
        <v>2.3363999999999998</v>
      </c>
      <c r="E26" s="1">
        <f t="shared" si="2"/>
        <v>0.35486111111111113</v>
      </c>
      <c r="F26" s="3">
        <v>46134</v>
      </c>
    </row>
    <row r="27" spans="1:6" x14ac:dyDescent="0.3">
      <c r="A27" t="s">
        <v>72</v>
      </c>
      <c r="B27">
        <v>20</v>
      </c>
      <c r="C27" s="5">
        <f t="shared" si="1"/>
        <v>1.6399999999999969E-3</v>
      </c>
      <c r="D27">
        <v>2.4887000000000001</v>
      </c>
      <c r="E27" s="1">
        <f t="shared" si="2"/>
        <v>0.35555555555555557</v>
      </c>
      <c r="F27" s="3">
        <v>46134</v>
      </c>
    </row>
    <row r="28" spans="1:6" x14ac:dyDescent="0.3">
      <c r="A28" t="s">
        <v>73</v>
      </c>
      <c r="B28">
        <v>20</v>
      </c>
      <c r="C28" s="5">
        <f t="shared" si="1"/>
        <v>6.750000000000034E-4</v>
      </c>
      <c r="D28">
        <v>1.5646</v>
      </c>
      <c r="E28" s="1">
        <f>E18+20/1440</f>
        <v>0.35625000000000001</v>
      </c>
      <c r="F28" s="3">
        <v>46134</v>
      </c>
    </row>
    <row r="29" spans="1:6" x14ac:dyDescent="0.3">
      <c r="A29" t="s">
        <v>74</v>
      </c>
      <c r="B29">
        <v>20</v>
      </c>
      <c r="C29" s="5">
        <f t="shared" si="1"/>
        <v>9.3499999999999692E-4</v>
      </c>
      <c r="D29">
        <v>2.1619999999999999</v>
      </c>
      <c r="E29" s="1">
        <f>E19+20/1440</f>
        <v>0.3576388888888889</v>
      </c>
      <c r="F29" s="3">
        <v>46134</v>
      </c>
    </row>
    <row r="30" spans="1:6" x14ac:dyDescent="0.3">
      <c r="A30" t="s">
        <v>75</v>
      </c>
      <c r="B30">
        <v>20</v>
      </c>
      <c r="C30" s="5">
        <f t="shared" si="1"/>
        <v>1.3699999999999934E-3</v>
      </c>
      <c r="D30">
        <v>1.6403000000000001</v>
      </c>
      <c r="E30" s="1">
        <f>E20+20/1440</f>
        <v>0.35972222222222222</v>
      </c>
      <c r="F30" s="3">
        <v>46134</v>
      </c>
    </row>
    <row r="31" spans="1:6" x14ac:dyDescent="0.3">
      <c r="A31" t="s">
        <v>76</v>
      </c>
      <c r="B31">
        <v>20</v>
      </c>
      <c r="C31" s="5">
        <f t="shared" si="1"/>
        <v>1.6200000000000103E-3</v>
      </c>
      <c r="D31">
        <v>1.4222999999999999</v>
      </c>
      <c r="E31" s="1">
        <f>E21+20/1440</f>
        <v>0.3611111111111111</v>
      </c>
      <c r="F31" s="3">
        <v>46134</v>
      </c>
    </row>
    <row r="32" spans="1:6" x14ac:dyDescent="0.3">
      <c r="A32" t="s">
        <v>67</v>
      </c>
      <c r="B32">
        <v>40</v>
      </c>
      <c r="C32" s="5">
        <f t="shared" si="1"/>
        <v>7.4000000000000736E-4</v>
      </c>
      <c r="D32">
        <v>2.2698</v>
      </c>
      <c r="E32" s="8">
        <f t="shared" ref="E32:E95" si="3">E22+20/1440</f>
        <v>0.36458333333333337</v>
      </c>
      <c r="F32" s="3">
        <v>46134</v>
      </c>
    </row>
    <row r="33" spans="1:6" x14ac:dyDescent="0.3">
      <c r="A33" t="s">
        <v>68</v>
      </c>
      <c r="B33">
        <v>40</v>
      </c>
      <c r="C33" s="5">
        <f t="shared" si="1"/>
        <v>1.6599999999999948E-3</v>
      </c>
      <c r="D33">
        <v>3.1888000000000001</v>
      </c>
      <c r="E33" s="1">
        <f t="shared" si="3"/>
        <v>0.36597222222222225</v>
      </c>
      <c r="F33" s="3">
        <v>46134</v>
      </c>
    </row>
    <row r="34" spans="1:6" x14ac:dyDescent="0.3">
      <c r="A34" t="s">
        <v>195</v>
      </c>
      <c r="B34">
        <v>40</v>
      </c>
      <c r="C34" s="5">
        <f t="shared" si="1"/>
        <v>9.5999999999998311E-4</v>
      </c>
      <c r="D34">
        <v>2.3610000000000002</v>
      </c>
      <c r="E34" s="1">
        <f t="shared" si="3"/>
        <v>0.3666666666666667</v>
      </c>
      <c r="F34" s="3">
        <v>46134</v>
      </c>
    </row>
    <row r="35" spans="1:6" x14ac:dyDescent="0.3">
      <c r="A35" t="s">
        <v>3</v>
      </c>
      <c r="B35">
        <v>40</v>
      </c>
      <c r="C35" s="2">
        <f t="shared" si="1"/>
        <v>1.1499999999999844E-3</v>
      </c>
      <c r="D35">
        <v>2.7791000000000001</v>
      </c>
      <c r="E35" s="1">
        <f t="shared" si="3"/>
        <v>0.36805555555555558</v>
      </c>
      <c r="F35" s="3">
        <v>46134</v>
      </c>
    </row>
    <row r="36" spans="1:6" x14ac:dyDescent="0.3">
      <c r="A36" t="s">
        <v>71</v>
      </c>
      <c r="B36">
        <v>40</v>
      </c>
      <c r="C36" s="5">
        <f t="shared" si="1"/>
        <v>1.0699999999999933E-3</v>
      </c>
      <c r="D36">
        <v>2.3149999999999999</v>
      </c>
      <c r="E36" s="1">
        <f t="shared" si="3"/>
        <v>0.36875000000000002</v>
      </c>
      <c r="F36" s="3">
        <v>46134</v>
      </c>
    </row>
    <row r="37" spans="1:6" x14ac:dyDescent="0.3">
      <c r="A37" t="s">
        <v>72</v>
      </c>
      <c r="B37">
        <v>40</v>
      </c>
      <c r="C37" s="5">
        <f t="shared" si="1"/>
        <v>1.8450000000000077E-3</v>
      </c>
      <c r="D37">
        <v>2.4518</v>
      </c>
      <c r="E37" s="1">
        <f t="shared" si="3"/>
        <v>0.36944444444444446</v>
      </c>
      <c r="F37" s="3">
        <v>46134</v>
      </c>
    </row>
    <row r="38" spans="1:6" x14ac:dyDescent="0.3">
      <c r="A38" t="s">
        <v>73</v>
      </c>
      <c r="B38">
        <v>40</v>
      </c>
      <c r="C38" s="5">
        <f t="shared" si="1"/>
        <v>6.7000000000000393E-4</v>
      </c>
      <c r="D38">
        <v>1.5511999999999999</v>
      </c>
      <c r="E38" s="1">
        <f t="shared" si="3"/>
        <v>0.37013888888888891</v>
      </c>
      <c r="F38" s="3">
        <v>46134</v>
      </c>
    </row>
    <row r="39" spans="1:6" x14ac:dyDescent="0.3">
      <c r="A39" t="s">
        <v>74</v>
      </c>
      <c r="B39">
        <v>40</v>
      </c>
      <c r="C39" s="5">
        <f t="shared" si="1"/>
        <v>8.5999999999999412E-4</v>
      </c>
      <c r="D39">
        <v>2.1448</v>
      </c>
      <c r="E39" s="1">
        <f t="shared" si="3"/>
        <v>0.37152777777777779</v>
      </c>
      <c r="F39" s="3">
        <v>46134</v>
      </c>
    </row>
    <row r="40" spans="1:6" x14ac:dyDescent="0.3">
      <c r="A40" t="s">
        <v>75</v>
      </c>
      <c r="B40">
        <v>40</v>
      </c>
      <c r="C40" s="5">
        <f t="shared" si="1"/>
        <v>1.8800000000000038E-3</v>
      </c>
      <c r="D40">
        <v>1.6027</v>
      </c>
      <c r="E40" s="1">
        <f t="shared" si="3"/>
        <v>0.37361111111111112</v>
      </c>
      <c r="F40" s="3">
        <v>46134</v>
      </c>
    </row>
    <row r="41" spans="1:6" x14ac:dyDescent="0.3">
      <c r="A41" t="s">
        <v>76</v>
      </c>
      <c r="B41">
        <v>40</v>
      </c>
      <c r="C41" s="5">
        <f t="shared" si="1"/>
        <v>1.4299999999999979E-3</v>
      </c>
      <c r="D41">
        <v>1.3936999999999999</v>
      </c>
      <c r="E41" s="1">
        <f t="shared" si="3"/>
        <v>0.375</v>
      </c>
      <c r="F41" s="3">
        <v>46134</v>
      </c>
    </row>
    <row r="42" spans="1:6" x14ac:dyDescent="0.3">
      <c r="A42" t="s">
        <v>67</v>
      </c>
      <c r="B42">
        <v>60</v>
      </c>
      <c r="C42" s="5">
        <f t="shared" si="1"/>
        <v>6.4500000000000668E-4</v>
      </c>
      <c r="D42">
        <v>2.2568999999999999</v>
      </c>
      <c r="E42" s="8">
        <f t="shared" si="3"/>
        <v>0.37847222222222227</v>
      </c>
      <c r="F42" s="3">
        <v>46134</v>
      </c>
    </row>
    <row r="43" spans="1:6" x14ac:dyDescent="0.3">
      <c r="A43" t="s">
        <v>68</v>
      </c>
      <c r="B43">
        <v>60</v>
      </c>
      <c r="C43" s="5">
        <f t="shared" si="1"/>
        <v>2.0750000000000048E-3</v>
      </c>
      <c r="D43">
        <v>3.1473</v>
      </c>
      <c r="E43" s="1">
        <f t="shared" si="3"/>
        <v>0.37986111111111115</v>
      </c>
      <c r="F43" s="3">
        <v>46134</v>
      </c>
    </row>
    <row r="44" spans="1:6" x14ac:dyDescent="0.3">
      <c r="A44" t="s">
        <v>195</v>
      </c>
      <c r="B44">
        <v>60</v>
      </c>
      <c r="C44" s="5">
        <f t="shared" si="1"/>
        <v>1.2600000000000167E-3</v>
      </c>
      <c r="D44">
        <v>2.3357999999999999</v>
      </c>
      <c r="E44" s="1">
        <f t="shared" si="3"/>
        <v>0.38055555555555559</v>
      </c>
      <c r="F44" s="3">
        <v>46134</v>
      </c>
    </row>
    <row r="45" spans="1:6" x14ac:dyDescent="0.3">
      <c r="A45" t="s">
        <v>3</v>
      </c>
      <c r="B45">
        <v>60</v>
      </c>
      <c r="C45" s="2">
        <f t="shared" si="1"/>
        <v>1.2900000000000134E-3</v>
      </c>
      <c r="D45">
        <v>2.7532999999999999</v>
      </c>
      <c r="E45" s="1">
        <f t="shared" si="3"/>
        <v>0.38194444444444448</v>
      </c>
      <c r="F45" s="3">
        <v>46134</v>
      </c>
    </row>
    <row r="46" spans="1:6" x14ac:dyDescent="0.3">
      <c r="A46" t="s">
        <v>71</v>
      </c>
      <c r="B46">
        <v>60</v>
      </c>
      <c r="C46" s="5">
        <f t="shared" si="1"/>
        <v>1.1199999999999878E-3</v>
      </c>
      <c r="D46">
        <v>2.2926000000000002</v>
      </c>
      <c r="E46" s="1">
        <f t="shared" si="3"/>
        <v>0.38263888888888892</v>
      </c>
      <c r="F46" s="3">
        <v>46134</v>
      </c>
    </row>
    <row r="47" spans="1:6" x14ac:dyDescent="0.3">
      <c r="A47" t="s">
        <v>72</v>
      </c>
      <c r="B47">
        <v>60</v>
      </c>
      <c r="C47" s="5">
        <f t="shared" si="1"/>
        <v>1.8299999999999983E-3</v>
      </c>
      <c r="D47">
        <v>2.4152</v>
      </c>
      <c r="E47" s="1">
        <f t="shared" si="3"/>
        <v>0.38333333333333336</v>
      </c>
      <c r="F47" s="3">
        <v>46134</v>
      </c>
    </row>
    <row r="48" spans="1:6" x14ac:dyDescent="0.3">
      <c r="A48" t="s">
        <v>73</v>
      </c>
      <c r="B48">
        <v>60</v>
      </c>
      <c r="C48" s="5">
        <f t="shared" si="1"/>
        <v>6.6999999999999287E-4</v>
      </c>
      <c r="D48">
        <v>1.5378000000000001</v>
      </c>
      <c r="E48" s="1">
        <f t="shared" si="3"/>
        <v>0.3840277777777778</v>
      </c>
      <c r="F48" s="3">
        <v>46134</v>
      </c>
    </row>
    <row r="49" spans="1:6" x14ac:dyDescent="0.3">
      <c r="A49" t="s">
        <v>74</v>
      </c>
      <c r="B49">
        <v>60</v>
      </c>
      <c r="C49" s="5">
        <f t="shared" si="1"/>
        <v>8.0500000000001122E-4</v>
      </c>
      <c r="D49">
        <v>2.1286999999999998</v>
      </c>
      <c r="E49" s="1">
        <f t="shared" si="3"/>
        <v>0.38541666666666669</v>
      </c>
      <c r="F49" s="3">
        <v>46134</v>
      </c>
    </row>
    <row r="50" spans="1:6" x14ac:dyDescent="0.3">
      <c r="A50" t="s">
        <v>75</v>
      </c>
      <c r="B50">
        <v>60</v>
      </c>
      <c r="C50" s="5">
        <f t="shared" si="1"/>
        <v>1.2249999999999982E-3</v>
      </c>
      <c r="D50">
        <v>1.5782</v>
      </c>
      <c r="E50" s="1">
        <f t="shared" si="3"/>
        <v>0.38750000000000001</v>
      </c>
      <c r="F50" s="3">
        <v>46134</v>
      </c>
    </row>
    <row r="51" spans="1:6" x14ac:dyDescent="0.3">
      <c r="A51" t="s">
        <v>76</v>
      </c>
      <c r="B51">
        <v>60</v>
      </c>
      <c r="C51" s="5">
        <f t="shared" si="1"/>
        <v>1.3549999999999951E-3</v>
      </c>
      <c r="D51">
        <v>1.3666</v>
      </c>
      <c r="E51" s="1">
        <f t="shared" si="3"/>
        <v>0.3888888888888889</v>
      </c>
      <c r="F51" s="3">
        <v>46134</v>
      </c>
    </row>
    <row r="52" spans="1:6" x14ac:dyDescent="0.3">
      <c r="A52" t="s">
        <v>67</v>
      </c>
      <c r="B52">
        <v>80</v>
      </c>
      <c r="C52" s="5">
        <f t="shared" si="1"/>
        <v>7.9000000000000186E-4</v>
      </c>
      <c r="D52">
        <v>2.2410999999999999</v>
      </c>
      <c r="E52" s="8">
        <f t="shared" si="3"/>
        <v>0.39236111111111116</v>
      </c>
      <c r="F52" s="3">
        <v>46134</v>
      </c>
    </row>
    <row r="53" spans="1:6" x14ac:dyDescent="0.3">
      <c r="A53" t="s">
        <v>68</v>
      </c>
      <c r="B53">
        <v>80</v>
      </c>
      <c r="C53" s="5">
        <f t="shared" si="1"/>
        <v>3.1549999999999968E-3</v>
      </c>
      <c r="D53">
        <v>3.0842000000000001</v>
      </c>
      <c r="E53" s="1">
        <f t="shared" si="3"/>
        <v>0.39375000000000004</v>
      </c>
      <c r="F53" s="3">
        <v>46134</v>
      </c>
    </row>
    <row r="54" spans="1:6" x14ac:dyDescent="0.3">
      <c r="A54" t="s">
        <v>195</v>
      </c>
      <c r="B54">
        <v>80</v>
      </c>
      <c r="C54" s="5">
        <f t="shared" si="1"/>
        <v>1.9599999999999839E-3</v>
      </c>
      <c r="D54">
        <v>2.2966000000000002</v>
      </c>
      <c r="E54" s="1">
        <f t="shared" si="3"/>
        <v>0.39444444444444449</v>
      </c>
      <c r="F54" s="3">
        <v>46134</v>
      </c>
    </row>
    <row r="55" spans="1:6" x14ac:dyDescent="0.3">
      <c r="A55" t="s">
        <v>3</v>
      </c>
      <c r="B55">
        <v>80</v>
      </c>
      <c r="C55" s="2">
        <f t="shared" si="1"/>
        <v>1.2649999999999827E-3</v>
      </c>
      <c r="D55">
        <v>2.7280000000000002</v>
      </c>
      <c r="E55" s="1">
        <f t="shared" si="3"/>
        <v>0.39583333333333337</v>
      </c>
      <c r="F55" s="3">
        <v>46134</v>
      </c>
    </row>
    <row r="56" spans="1:6" x14ac:dyDescent="0.3">
      <c r="A56" t="s">
        <v>71</v>
      </c>
      <c r="B56">
        <v>80</v>
      </c>
      <c r="C56" s="5">
        <f t="shared" si="1"/>
        <v>9.2000000000000968E-4</v>
      </c>
      <c r="D56">
        <v>2.2742</v>
      </c>
      <c r="E56" s="1">
        <f t="shared" si="3"/>
        <v>0.39652777777777781</v>
      </c>
      <c r="F56" s="3">
        <v>46134</v>
      </c>
    </row>
    <row r="57" spans="1:6" x14ac:dyDescent="0.3">
      <c r="A57" t="s">
        <v>72</v>
      </c>
      <c r="B57">
        <v>80</v>
      </c>
      <c r="C57" s="5">
        <f t="shared" si="1"/>
        <v>1.4699999999999934E-3</v>
      </c>
      <c r="D57">
        <v>2.3858000000000001</v>
      </c>
      <c r="E57" s="1">
        <f t="shared" si="3"/>
        <v>0.39722222222222225</v>
      </c>
      <c r="F57" s="3">
        <v>46134</v>
      </c>
    </row>
    <row r="58" spans="1:6" x14ac:dyDescent="0.3">
      <c r="A58" t="s">
        <v>73</v>
      </c>
      <c r="B58">
        <v>80</v>
      </c>
      <c r="C58" s="5">
        <f t="shared" si="1"/>
        <v>6.0000000000000049E-4</v>
      </c>
      <c r="D58">
        <v>1.5258</v>
      </c>
      <c r="E58" s="1">
        <f t="shared" si="3"/>
        <v>0.3979166666666667</v>
      </c>
      <c r="F58" s="3">
        <v>46134</v>
      </c>
    </row>
    <row r="59" spans="1:6" x14ac:dyDescent="0.3">
      <c r="A59" t="s">
        <v>74</v>
      </c>
      <c r="B59">
        <v>80</v>
      </c>
      <c r="C59" s="5">
        <f t="shared" si="1"/>
        <v>8.6999999999999296E-4</v>
      </c>
      <c r="D59">
        <v>2.1113</v>
      </c>
      <c r="E59" s="1">
        <f t="shared" si="3"/>
        <v>0.39930555555555558</v>
      </c>
      <c r="F59" s="3">
        <v>46134</v>
      </c>
    </row>
    <row r="60" spans="1:6" x14ac:dyDescent="0.3">
      <c r="A60" t="s">
        <v>75</v>
      </c>
      <c r="B60">
        <v>80</v>
      </c>
      <c r="C60" s="5">
        <f t="shared" si="1"/>
        <v>1.2349999999999972E-3</v>
      </c>
      <c r="D60">
        <v>1.5535000000000001</v>
      </c>
      <c r="E60" s="1">
        <f t="shared" si="3"/>
        <v>0.40138888888888891</v>
      </c>
      <c r="F60" s="3">
        <v>46134</v>
      </c>
    </row>
    <row r="61" spans="1:6" x14ac:dyDescent="0.3">
      <c r="A61" t="s">
        <v>76</v>
      </c>
      <c r="B61">
        <v>80</v>
      </c>
      <c r="C61" s="5">
        <f t="shared" si="1"/>
        <v>1.3500000000000068E-3</v>
      </c>
      <c r="D61">
        <v>1.3395999999999999</v>
      </c>
      <c r="E61" s="1">
        <f t="shared" si="3"/>
        <v>0.40277777777777779</v>
      </c>
      <c r="F61" s="3">
        <v>46134</v>
      </c>
    </row>
    <row r="62" spans="1:6" x14ac:dyDescent="0.3">
      <c r="A62" t="s">
        <v>67</v>
      </c>
      <c r="B62">
        <v>100</v>
      </c>
      <c r="C62" s="5">
        <f t="shared" si="1"/>
        <v>6.9500000000000117E-4</v>
      </c>
      <c r="D62">
        <v>2.2271999999999998</v>
      </c>
      <c r="E62" s="8">
        <f t="shared" si="3"/>
        <v>0.40625000000000006</v>
      </c>
      <c r="F62" s="3">
        <v>46134</v>
      </c>
    </row>
    <row r="63" spans="1:6" x14ac:dyDescent="0.3">
      <c r="A63" t="s">
        <v>68</v>
      </c>
      <c r="B63">
        <v>100</v>
      </c>
      <c r="C63" s="5">
        <f t="shared" si="1"/>
        <v>1.6450000000000076E-3</v>
      </c>
      <c r="D63">
        <v>3.0512999999999999</v>
      </c>
      <c r="E63" s="1">
        <f t="shared" si="3"/>
        <v>0.40763888888888894</v>
      </c>
      <c r="F63" s="3">
        <v>46134</v>
      </c>
    </row>
    <row r="64" spans="1:6" x14ac:dyDescent="0.3">
      <c r="A64" t="s">
        <v>195</v>
      </c>
      <c r="B64">
        <v>100</v>
      </c>
      <c r="C64" s="5">
        <f t="shared" si="1"/>
        <v>1.6000000000000014E-3</v>
      </c>
      <c r="D64">
        <v>2.2646000000000002</v>
      </c>
      <c r="E64" s="1">
        <f t="shared" si="3"/>
        <v>0.40833333333333338</v>
      </c>
      <c r="F64" s="3">
        <v>46134</v>
      </c>
    </row>
    <row r="65" spans="1:6" x14ac:dyDescent="0.3">
      <c r="A65" t="s">
        <v>3</v>
      </c>
      <c r="B65">
        <v>100</v>
      </c>
      <c r="C65" s="2">
        <f t="shared" si="1"/>
        <v>1.0800000000000143E-3</v>
      </c>
      <c r="D65">
        <v>2.7063999999999999</v>
      </c>
      <c r="E65" s="1">
        <f t="shared" si="3"/>
        <v>0.40972222222222227</v>
      </c>
      <c r="F65" s="3">
        <v>46134</v>
      </c>
    </row>
    <row r="66" spans="1:6" x14ac:dyDescent="0.3">
      <c r="A66" t="s">
        <v>71</v>
      </c>
      <c r="B66">
        <v>100</v>
      </c>
      <c r="C66" s="5">
        <f t="shared" si="1"/>
        <v>7.4499999999999567E-4</v>
      </c>
      <c r="D66">
        <v>2.2593000000000001</v>
      </c>
      <c r="E66" s="1">
        <f t="shared" si="3"/>
        <v>0.41041666666666671</v>
      </c>
      <c r="F66" s="3">
        <v>46134</v>
      </c>
    </row>
    <row r="67" spans="1:6" x14ac:dyDescent="0.3">
      <c r="A67" t="s">
        <v>72</v>
      </c>
      <c r="B67">
        <v>100</v>
      </c>
      <c r="C67" s="5">
        <f t="shared" si="1"/>
        <v>1.3300000000000089E-3</v>
      </c>
      <c r="D67">
        <v>2.3592</v>
      </c>
      <c r="E67" s="1">
        <f t="shared" si="3"/>
        <v>0.41111111111111115</v>
      </c>
      <c r="F67" s="3">
        <v>46134</v>
      </c>
    </row>
    <row r="68" spans="1:6" x14ac:dyDescent="0.3">
      <c r="A68" t="s">
        <v>73</v>
      </c>
      <c r="B68">
        <v>100</v>
      </c>
      <c r="C68" s="5">
        <f t="shared" si="1"/>
        <v>6.0999999999999943E-4</v>
      </c>
      <c r="D68">
        <v>1.5136000000000001</v>
      </c>
      <c r="E68" s="1">
        <f t="shared" si="3"/>
        <v>0.41180555555555559</v>
      </c>
      <c r="F68" s="3">
        <v>46134</v>
      </c>
    </row>
    <row r="69" spans="1:6" x14ac:dyDescent="0.3">
      <c r="A69" t="s">
        <v>74</v>
      </c>
      <c r="B69">
        <v>100</v>
      </c>
      <c r="C69" s="5">
        <f t="shared" si="1"/>
        <v>8.750000000000036E-4</v>
      </c>
      <c r="D69">
        <v>2.0937999999999999</v>
      </c>
      <c r="E69" s="1">
        <f t="shared" si="3"/>
        <v>0.41319444444444448</v>
      </c>
      <c r="F69" s="3">
        <v>46134</v>
      </c>
    </row>
    <row r="70" spans="1:6" x14ac:dyDescent="0.3">
      <c r="A70" t="s">
        <v>75</v>
      </c>
      <c r="B70">
        <v>100</v>
      </c>
      <c r="C70" s="5">
        <f t="shared" si="1"/>
        <v>1.2099999999999999E-3</v>
      </c>
      <c r="D70">
        <v>1.5293000000000001</v>
      </c>
      <c r="E70" s="1">
        <f t="shared" si="3"/>
        <v>0.4152777777777778</v>
      </c>
      <c r="F70" s="3">
        <v>46134</v>
      </c>
    </row>
    <row r="71" spans="1:6" x14ac:dyDescent="0.3">
      <c r="A71" t="s">
        <v>76</v>
      </c>
      <c r="B71">
        <v>100</v>
      </c>
      <c r="C71" s="5">
        <f t="shared" si="1"/>
        <v>1.3399999999999968E-3</v>
      </c>
      <c r="D71">
        <v>1.3128</v>
      </c>
      <c r="E71" s="1">
        <f t="shared" si="3"/>
        <v>0.41666666666666669</v>
      </c>
      <c r="F71" s="3">
        <v>46134</v>
      </c>
    </row>
    <row r="72" spans="1:6" x14ac:dyDescent="0.3">
      <c r="A72" t="s">
        <v>67</v>
      </c>
      <c r="B72">
        <v>120</v>
      </c>
      <c r="C72" s="5">
        <f t="shared" si="1"/>
        <v>7.4999999999998397E-4</v>
      </c>
      <c r="D72">
        <v>2.2122000000000002</v>
      </c>
      <c r="E72" s="8">
        <f t="shared" si="3"/>
        <v>0.42013888888888895</v>
      </c>
      <c r="F72" s="3">
        <v>46134</v>
      </c>
    </row>
    <row r="73" spans="1:6" x14ac:dyDescent="0.3">
      <c r="A73" t="s">
        <v>68</v>
      </c>
      <c r="B73">
        <v>120</v>
      </c>
      <c r="C73" s="5">
        <f t="shared" si="1"/>
        <v>1.5900000000000024E-3</v>
      </c>
      <c r="D73">
        <v>3.0194999999999999</v>
      </c>
      <c r="E73" s="1">
        <f t="shared" si="3"/>
        <v>0.42152777777777783</v>
      </c>
      <c r="F73" s="3">
        <v>46134</v>
      </c>
    </row>
    <row r="74" spans="1:6" x14ac:dyDescent="0.3">
      <c r="A74" t="s">
        <v>195</v>
      </c>
      <c r="B74">
        <v>120</v>
      </c>
      <c r="C74" s="5">
        <f t="shared" si="1"/>
        <v>7.4500000000001789E-4</v>
      </c>
      <c r="D74">
        <v>2.2496999999999998</v>
      </c>
      <c r="E74" s="1">
        <f t="shared" si="3"/>
        <v>0.42222222222222228</v>
      </c>
      <c r="F74" s="3">
        <v>46134</v>
      </c>
    </row>
    <row r="75" spans="1:6" x14ac:dyDescent="0.3">
      <c r="A75" t="s">
        <v>3</v>
      </c>
      <c r="B75">
        <v>120</v>
      </c>
      <c r="C75" s="2">
        <f t="shared" si="1"/>
        <v>9.7499999999999258E-4</v>
      </c>
      <c r="D75">
        <v>2.6869000000000001</v>
      </c>
      <c r="E75" s="1">
        <f t="shared" si="3"/>
        <v>0.42361111111111116</v>
      </c>
      <c r="F75" s="3">
        <v>46134</v>
      </c>
    </row>
    <row r="76" spans="1:6" x14ac:dyDescent="0.3">
      <c r="A76" t="s">
        <v>71</v>
      </c>
      <c r="B76">
        <v>120</v>
      </c>
      <c r="C76" s="5">
        <f t="shared" si="1"/>
        <v>6.5500000000000562E-4</v>
      </c>
      <c r="D76">
        <v>2.2462</v>
      </c>
      <c r="E76" s="1">
        <f t="shared" si="3"/>
        <v>0.4243055555555556</v>
      </c>
      <c r="F76" s="3">
        <v>46134</v>
      </c>
    </row>
    <row r="77" spans="1:6" x14ac:dyDescent="0.3">
      <c r="A77" t="s">
        <v>72</v>
      </c>
      <c r="B77">
        <v>120</v>
      </c>
      <c r="C77" s="5">
        <f t="shared" si="1"/>
        <v>1.3449999999999962E-3</v>
      </c>
      <c r="D77">
        <v>2.3323</v>
      </c>
      <c r="E77" s="1">
        <f t="shared" si="3"/>
        <v>0.42500000000000004</v>
      </c>
      <c r="F77" s="3">
        <v>46134</v>
      </c>
    </row>
    <row r="78" spans="1:6" x14ac:dyDescent="0.3">
      <c r="A78" t="s">
        <v>73</v>
      </c>
      <c r="B78">
        <v>120</v>
      </c>
      <c r="C78" s="5">
        <f t="shared" si="1"/>
        <v>6.149999999999989E-4</v>
      </c>
      <c r="D78">
        <v>1.5013000000000001</v>
      </c>
      <c r="E78" s="1">
        <f t="shared" si="3"/>
        <v>0.42569444444444449</v>
      </c>
      <c r="F78" s="3">
        <v>46134</v>
      </c>
    </row>
    <row r="79" spans="1:6" x14ac:dyDescent="0.3">
      <c r="A79" t="s">
        <v>74</v>
      </c>
      <c r="B79">
        <v>120</v>
      </c>
      <c r="C79" s="5">
        <f t="shared" si="1"/>
        <v>7.6000000000000514E-4</v>
      </c>
      <c r="D79">
        <v>2.0785999999999998</v>
      </c>
      <c r="E79" s="1">
        <f t="shared" si="3"/>
        <v>0.42708333333333337</v>
      </c>
      <c r="F79" s="3">
        <v>46134</v>
      </c>
    </row>
    <row r="80" spans="1:6" x14ac:dyDescent="0.3">
      <c r="A80" t="s">
        <v>75</v>
      </c>
      <c r="B80">
        <v>120</v>
      </c>
      <c r="C80" s="5">
        <f t="shared" si="1"/>
        <v>1.090000000000002E-3</v>
      </c>
      <c r="D80">
        <v>1.5075000000000001</v>
      </c>
      <c r="E80" s="1">
        <f t="shared" si="3"/>
        <v>0.4291666666666667</v>
      </c>
      <c r="F80" s="3">
        <v>46134</v>
      </c>
    </row>
    <row r="81" spans="1:6" x14ac:dyDescent="0.3">
      <c r="A81" t="s">
        <v>76</v>
      </c>
      <c r="B81">
        <v>120</v>
      </c>
      <c r="C81" s="5">
        <f t="shared" si="1"/>
        <v>1.2299999999999978E-3</v>
      </c>
      <c r="D81">
        <v>1.2882</v>
      </c>
      <c r="E81" s="1">
        <f t="shared" si="3"/>
        <v>0.43055555555555558</v>
      </c>
      <c r="F81" s="3">
        <v>46134</v>
      </c>
    </row>
    <row r="82" spans="1:6" x14ac:dyDescent="0.3">
      <c r="A82" t="s">
        <v>67</v>
      </c>
      <c r="B82">
        <v>140</v>
      </c>
      <c r="C82" s="5">
        <f t="shared" si="1"/>
        <v>8.0999999999999963E-4</v>
      </c>
      <c r="D82">
        <v>2.1960000000000002</v>
      </c>
      <c r="E82" s="8">
        <f t="shared" si="3"/>
        <v>0.43402777777777785</v>
      </c>
      <c r="F82" s="3">
        <v>46134</v>
      </c>
    </row>
    <row r="83" spans="1:6" x14ac:dyDescent="0.3">
      <c r="A83" t="s">
        <v>68</v>
      </c>
      <c r="B83">
        <v>140</v>
      </c>
      <c r="C83" s="5">
        <f t="shared" si="1"/>
        <v>1.4100000000000002E-3</v>
      </c>
      <c r="D83">
        <v>2.9912999999999998</v>
      </c>
      <c r="E83" s="1">
        <f t="shared" si="3"/>
        <v>0.43541666666666673</v>
      </c>
      <c r="F83" s="3">
        <v>46134</v>
      </c>
    </row>
    <row r="84" spans="1:6" x14ac:dyDescent="0.3">
      <c r="A84" t="s">
        <v>195</v>
      </c>
      <c r="B84">
        <v>140</v>
      </c>
      <c r="C84" s="5">
        <f t="shared" si="1"/>
        <v>6.3999999999999615E-4</v>
      </c>
      <c r="D84">
        <v>2.2368999999999999</v>
      </c>
      <c r="E84" s="1">
        <f t="shared" si="3"/>
        <v>0.43611111111111117</v>
      </c>
      <c r="F84" s="3">
        <v>46134</v>
      </c>
    </row>
    <row r="85" spans="1:6" x14ac:dyDescent="0.3">
      <c r="A85" t="s">
        <v>3</v>
      </c>
      <c r="B85">
        <v>140</v>
      </c>
      <c r="C85" s="2">
        <f t="shared" si="1"/>
        <v>7.7000000000000397E-4</v>
      </c>
      <c r="D85">
        <v>2.6715</v>
      </c>
      <c r="E85" s="1">
        <f t="shared" si="3"/>
        <v>0.43750000000000006</v>
      </c>
      <c r="F85" s="3">
        <v>46134</v>
      </c>
    </row>
    <row r="86" spans="1:6" x14ac:dyDescent="0.3">
      <c r="A86" t="s">
        <v>71</v>
      </c>
      <c r="B86">
        <v>140</v>
      </c>
      <c r="C86" s="5">
        <f t="shared" si="1"/>
        <v>5.7499999999999218E-4</v>
      </c>
      <c r="D86">
        <v>2.2347000000000001</v>
      </c>
      <c r="E86" s="1">
        <f t="shared" si="3"/>
        <v>0.4381944444444445</v>
      </c>
      <c r="F86" s="3">
        <v>46134</v>
      </c>
    </row>
    <row r="87" spans="1:6" x14ac:dyDescent="0.3">
      <c r="A87" t="s">
        <v>72</v>
      </c>
      <c r="B87">
        <v>140</v>
      </c>
      <c r="C87" s="5">
        <f t="shared" ref="C87:C150" si="4">(D77-D87)/20</f>
        <v>1.3349999999999972E-3</v>
      </c>
      <c r="D87">
        <v>2.3056000000000001</v>
      </c>
      <c r="E87" s="1">
        <f t="shared" si="3"/>
        <v>0.43888888888888894</v>
      </c>
      <c r="F87" s="3">
        <v>46134</v>
      </c>
    </row>
    <row r="88" spans="1:6" x14ac:dyDescent="0.3">
      <c r="A88" t="s">
        <v>73</v>
      </c>
      <c r="B88">
        <v>140</v>
      </c>
      <c r="C88" s="5">
        <f t="shared" si="4"/>
        <v>5.6500000000000441E-4</v>
      </c>
      <c r="D88">
        <v>1.49</v>
      </c>
      <c r="E88" s="1">
        <f t="shared" si="3"/>
        <v>0.43958333333333338</v>
      </c>
      <c r="F88" s="3">
        <v>46134</v>
      </c>
    </row>
    <row r="89" spans="1:6" x14ac:dyDescent="0.3">
      <c r="A89" t="s">
        <v>74</v>
      </c>
      <c r="B89">
        <v>140</v>
      </c>
      <c r="C89" s="5">
        <f t="shared" si="4"/>
        <v>8.2999999999999741E-4</v>
      </c>
      <c r="D89">
        <v>2.0619999999999998</v>
      </c>
      <c r="E89" s="1">
        <f t="shared" si="3"/>
        <v>0.44097222222222227</v>
      </c>
      <c r="F89" s="3">
        <v>46134</v>
      </c>
    </row>
    <row r="90" spans="1:6" x14ac:dyDescent="0.3">
      <c r="A90" t="s">
        <v>75</v>
      </c>
      <c r="B90">
        <v>140</v>
      </c>
      <c r="C90" s="5">
        <f t="shared" si="4"/>
        <v>1.0800000000000033E-3</v>
      </c>
      <c r="D90">
        <v>1.4859</v>
      </c>
      <c r="E90" s="1">
        <f t="shared" si="3"/>
        <v>0.44305555555555559</v>
      </c>
      <c r="F90" s="3">
        <v>46134</v>
      </c>
    </row>
    <row r="91" spans="1:6" x14ac:dyDescent="0.3">
      <c r="A91" t="s">
        <v>76</v>
      </c>
      <c r="B91">
        <v>140</v>
      </c>
      <c r="C91" s="5">
        <f t="shared" si="4"/>
        <v>1.1800000000000033E-3</v>
      </c>
      <c r="D91">
        <v>1.2645999999999999</v>
      </c>
      <c r="E91" s="1">
        <f t="shared" si="3"/>
        <v>0.44444444444444448</v>
      </c>
      <c r="F91" s="3">
        <v>46134</v>
      </c>
    </row>
    <row r="92" spans="1:6" x14ac:dyDescent="0.3">
      <c r="A92" t="s">
        <v>67</v>
      </c>
      <c r="B92">
        <v>160</v>
      </c>
      <c r="C92" s="5">
        <f t="shared" si="4"/>
        <v>6.5000000000001721E-4</v>
      </c>
      <c r="D92">
        <v>2.1829999999999998</v>
      </c>
      <c r="E92" s="8">
        <f t="shared" si="3"/>
        <v>0.44791666666666674</v>
      </c>
      <c r="F92" s="3">
        <v>46134</v>
      </c>
    </row>
    <row r="93" spans="1:6" x14ac:dyDescent="0.3">
      <c r="A93" t="s">
        <v>68</v>
      </c>
      <c r="B93">
        <v>160</v>
      </c>
      <c r="C93" s="5">
        <f t="shared" si="4"/>
        <v>1.3499999999999845E-3</v>
      </c>
      <c r="D93">
        <v>2.9643000000000002</v>
      </c>
      <c r="E93" s="1">
        <f t="shared" si="3"/>
        <v>0.44930555555555562</v>
      </c>
      <c r="F93" s="3">
        <v>46134</v>
      </c>
    </row>
    <row r="94" spans="1:6" x14ac:dyDescent="0.3">
      <c r="A94" t="s">
        <v>195</v>
      </c>
      <c r="B94">
        <v>160</v>
      </c>
      <c r="C94" s="5">
        <f t="shared" si="4"/>
        <v>6.6999999999999287E-4</v>
      </c>
      <c r="D94">
        <v>2.2235</v>
      </c>
      <c r="E94" s="1">
        <f t="shared" si="3"/>
        <v>0.45000000000000007</v>
      </c>
      <c r="F94" s="3">
        <v>46134</v>
      </c>
    </row>
    <row r="95" spans="1:6" x14ac:dyDescent="0.3">
      <c r="A95" t="s">
        <v>3</v>
      </c>
      <c r="B95">
        <v>160</v>
      </c>
      <c r="C95" s="2">
        <f t="shared" si="4"/>
        <v>8.8500000000000243E-4</v>
      </c>
      <c r="D95">
        <v>2.6537999999999999</v>
      </c>
      <c r="E95" s="1">
        <f t="shared" si="3"/>
        <v>0.45138888888888895</v>
      </c>
      <c r="F95" s="3">
        <v>46134</v>
      </c>
    </row>
    <row r="96" spans="1:6" x14ac:dyDescent="0.3">
      <c r="A96" t="s">
        <v>71</v>
      </c>
      <c r="B96">
        <v>160</v>
      </c>
      <c r="C96" s="5">
        <f t="shared" si="4"/>
        <v>6.250000000000089E-4</v>
      </c>
      <c r="D96">
        <v>2.2222</v>
      </c>
      <c r="E96" s="1">
        <f t="shared" ref="E96:E151" si="5">E86+20/1440</f>
        <v>0.45208333333333339</v>
      </c>
      <c r="F96" s="3">
        <v>46134</v>
      </c>
    </row>
    <row r="97" spans="1:6" x14ac:dyDescent="0.3">
      <c r="A97" t="s">
        <v>72</v>
      </c>
      <c r="B97">
        <v>160</v>
      </c>
      <c r="C97" s="5">
        <f t="shared" si="4"/>
        <v>1.3300000000000089E-3</v>
      </c>
      <c r="D97">
        <v>2.2789999999999999</v>
      </c>
      <c r="E97" s="1">
        <f t="shared" si="5"/>
        <v>0.45277777777777783</v>
      </c>
      <c r="F97" s="3">
        <v>46134</v>
      </c>
    </row>
    <row r="98" spans="1:6" x14ac:dyDescent="0.3">
      <c r="A98" t="s">
        <v>73</v>
      </c>
      <c r="B98">
        <v>160</v>
      </c>
      <c r="C98" s="5">
        <f t="shared" si="4"/>
        <v>5.9000000000000166E-4</v>
      </c>
      <c r="D98">
        <v>1.4782</v>
      </c>
      <c r="E98" s="1">
        <f t="shared" si="5"/>
        <v>0.45347222222222228</v>
      </c>
      <c r="F98" s="3">
        <v>46134</v>
      </c>
    </row>
    <row r="99" spans="1:6" x14ac:dyDescent="0.3">
      <c r="A99" t="s">
        <v>74</v>
      </c>
      <c r="B99">
        <v>160</v>
      </c>
      <c r="C99" s="5">
        <f t="shared" si="4"/>
        <v>7.3999999999998514E-4</v>
      </c>
      <c r="D99">
        <v>2.0472000000000001</v>
      </c>
      <c r="E99" s="1">
        <f t="shared" si="5"/>
        <v>0.45486111111111116</v>
      </c>
      <c r="F99" s="3">
        <v>46134</v>
      </c>
    </row>
    <row r="100" spans="1:6" x14ac:dyDescent="0.3">
      <c r="A100" t="s">
        <v>75</v>
      </c>
      <c r="B100">
        <v>160</v>
      </c>
      <c r="C100" s="5">
        <f t="shared" si="4"/>
        <v>1.1449999999999961E-3</v>
      </c>
      <c r="D100">
        <v>1.4630000000000001</v>
      </c>
      <c r="E100" s="1">
        <f t="shared" si="5"/>
        <v>0.45694444444444449</v>
      </c>
      <c r="F100" s="3">
        <v>46134</v>
      </c>
    </row>
    <row r="101" spans="1:6" x14ac:dyDescent="0.3">
      <c r="A101" t="s">
        <v>76</v>
      </c>
      <c r="B101">
        <v>160</v>
      </c>
      <c r="C101" s="5">
        <f t="shared" si="4"/>
        <v>1.1649999999999937E-3</v>
      </c>
      <c r="D101">
        <v>1.2413000000000001</v>
      </c>
      <c r="E101" s="1">
        <f t="shared" si="5"/>
        <v>0.45833333333333337</v>
      </c>
      <c r="F101" s="3">
        <v>46134</v>
      </c>
    </row>
    <row r="102" spans="1:6" x14ac:dyDescent="0.3">
      <c r="A102" t="s">
        <v>67</v>
      </c>
      <c r="B102">
        <v>180</v>
      </c>
      <c r="C102" s="5">
        <f t="shared" si="4"/>
        <v>6.6999999999999287E-4</v>
      </c>
      <c r="D102">
        <v>2.1696</v>
      </c>
      <c r="E102" s="8">
        <f t="shared" si="5"/>
        <v>0.46180555555555564</v>
      </c>
      <c r="F102" s="3">
        <v>46134</v>
      </c>
    </row>
    <row r="103" spans="1:6" x14ac:dyDescent="0.3">
      <c r="A103" t="s">
        <v>68</v>
      </c>
      <c r="B103">
        <v>180</v>
      </c>
      <c r="C103" s="5">
        <f t="shared" si="4"/>
        <v>1.4150000000000107E-3</v>
      </c>
      <c r="D103">
        <v>2.9359999999999999</v>
      </c>
      <c r="E103" s="1">
        <f t="shared" si="5"/>
        <v>0.46319444444444452</v>
      </c>
      <c r="F103" s="3">
        <v>46134</v>
      </c>
    </row>
    <row r="104" spans="1:6" x14ac:dyDescent="0.3">
      <c r="A104" t="s">
        <v>195</v>
      </c>
      <c r="B104">
        <v>180</v>
      </c>
      <c r="C104" s="5">
        <f t="shared" si="4"/>
        <v>5.7000000000000388E-4</v>
      </c>
      <c r="D104">
        <v>2.2121</v>
      </c>
      <c r="E104" s="1">
        <f t="shared" si="5"/>
        <v>0.46388888888888896</v>
      </c>
      <c r="F104" s="3">
        <v>46134</v>
      </c>
    </row>
    <row r="105" spans="1:6" x14ac:dyDescent="0.3">
      <c r="A105" t="s">
        <v>3</v>
      </c>
      <c r="B105">
        <v>180</v>
      </c>
      <c r="C105" s="2">
        <f t="shared" si="4"/>
        <v>7.4000000000000736E-4</v>
      </c>
      <c r="D105">
        <v>2.6389999999999998</v>
      </c>
      <c r="E105" s="1">
        <f t="shared" si="5"/>
        <v>0.46527777777777785</v>
      </c>
      <c r="F105" s="3">
        <v>46134</v>
      </c>
    </row>
    <row r="106" spans="1:6" x14ac:dyDescent="0.3">
      <c r="A106" t="s">
        <v>71</v>
      </c>
      <c r="B106">
        <v>180</v>
      </c>
      <c r="C106" s="5">
        <f t="shared" si="4"/>
        <v>5.0499999999999992E-4</v>
      </c>
      <c r="D106">
        <v>2.2121</v>
      </c>
      <c r="E106" s="1">
        <f t="shared" si="5"/>
        <v>0.46597222222222229</v>
      </c>
      <c r="F106" s="3">
        <v>46134</v>
      </c>
    </row>
    <row r="107" spans="1:6" x14ac:dyDescent="0.3">
      <c r="A107" t="s">
        <v>72</v>
      </c>
      <c r="B107">
        <v>180</v>
      </c>
      <c r="C107" s="5">
        <f t="shared" si="4"/>
        <v>1.2149999999999882E-3</v>
      </c>
      <c r="D107">
        <v>2.2547000000000001</v>
      </c>
      <c r="E107" s="1">
        <f t="shared" si="5"/>
        <v>0.46666666666666673</v>
      </c>
      <c r="F107" s="3">
        <v>46134</v>
      </c>
    </row>
    <row r="108" spans="1:6" x14ac:dyDescent="0.3">
      <c r="A108" t="s">
        <v>73</v>
      </c>
      <c r="B108">
        <v>180</v>
      </c>
      <c r="C108" s="5">
        <f t="shared" si="4"/>
        <v>5.1999999999999822E-4</v>
      </c>
      <c r="D108">
        <v>1.4678</v>
      </c>
      <c r="E108" s="1">
        <f t="shared" si="5"/>
        <v>0.46736111111111117</v>
      </c>
      <c r="F108" s="3">
        <v>46134</v>
      </c>
    </row>
    <row r="109" spans="1:6" x14ac:dyDescent="0.3">
      <c r="A109" t="s">
        <v>74</v>
      </c>
      <c r="B109">
        <v>180</v>
      </c>
      <c r="C109" s="5">
        <f t="shared" si="4"/>
        <v>6.9500000000000117E-4</v>
      </c>
      <c r="D109">
        <v>2.0333000000000001</v>
      </c>
      <c r="E109" s="1">
        <f t="shared" si="5"/>
        <v>0.46875000000000006</v>
      </c>
      <c r="F109" s="3">
        <v>46134</v>
      </c>
    </row>
    <row r="110" spans="1:6" x14ac:dyDescent="0.3">
      <c r="A110" t="s">
        <v>75</v>
      </c>
      <c r="B110">
        <v>180</v>
      </c>
      <c r="C110" s="5">
        <f t="shared" si="4"/>
        <v>1.0400000000000075E-3</v>
      </c>
      <c r="D110">
        <v>1.4421999999999999</v>
      </c>
      <c r="E110" s="1">
        <f t="shared" si="5"/>
        <v>0.47083333333333338</v>
      </c>
      <c r="F110" s="3">
        <v>46134</v>
      </c>
    </row>
    <row r="111" spans="1:6" x14ac:dyDescent="0.3">
      <c r="A111" t="s">
        <v>76</v>
      </c>
      <c r="B111">
        <v>180</v>
      </c>
      <c r="C111" s="5">
        <f t="shared" si="4"/>
        <v>1.1550000000000061E-3</v>
      </c>
      <c r="D111">
        <v>1.2181999999999999</v>
      </c>
      <c r="E111" s="1">
        <f t="shared" si="5"/>
        <v>0.47222222222222227</v>
      </c>
      <c r="F111" s="3">
        <v>46134</v>
      </c>
    </row>
    <row r="112" spans="1:6" x14ac:dyDescent="0.3">
      <c r="A112" t="s">
        <v>67</v>
      </c>
      <c r="B112">
        <v>200</v>
      </c>
      <c r="C112" s="5">
        <f t="shared" si="4"/>
        <v>7.1499999999999895E-4</v>
      </c>
      <c r="D112">
        <v>2.1553</v>
      </c>
      <c r="E112" s="8">
        <f t="shared" si="5"/>
        <v>0.47569444444444453</v>
      </c>
      <c r="F112" s="3">
        <v>46134</v>
      </c>
    </row>
    <row r="113" spans="1:6" x14ac:dyDescent="0.3">
      <c r="A113" t="s">
        <v>68</v>
      </c>
      <c r="B113">
        <v>200</v>
      </c>
      <c r="C113" s="5">
        <f t="shared" si="4"/>
        <v>1.4499999999999958E-3</v>
      </c>
      <c r="D113">
        <v>2.907</v>
      </c>
      <c r="E113" s="1">
        <f t="shared" si="5"/>
        <v>0.47708333333333341</v>
      </c>
      <c r="F113" s="3">
        <v>46134</v>
      </c>
    </row>
    <row r="114" spans="1:6" x14ac:dyDescent="0.3">
      <c r="A114" t="s">
        <v>195</v>
      </c>
      <c r="B114">
        <v>200</v>
      </c>
      <c r="C114" s="5">
        <f t="shared" si="4"/>
        <v>6.750000000000034E-4</v>
      </c>
      <c r="D114">
        <v>2.1985999999999999</v>
      </c>
      <c r="E114" s="1">
        <f t="shared" si="5"/>
        <v>0.47777777777777786</v>
      </c>
      <c r="F114" s="3">
        <v>46134</v>
      </c>
    </row>
    <row r="115" spans="1:6" x14ac:dyDescent="0.3">
      <c r="A115" t="s">
        <v>3</v>
      </c>
      <c r="B115">
        <v>200</v>
      </c>
      <c r="C115" s="2">
        <f t="shared" si="4"/>
        <v>8.7499999999998137E-4</v>
      </c>
      <c r="D115">
        <v>2.6215000000000002</v>
      </c>
      <c r="E115" s="1">
        <f t="shared" si="5"/>
        <v>0.47916666666666674</v>
      </c>
      <c r="F115" s="3">
        <v>46134</v>
      </c>
    </row>
    <row r="116" spans="1:6" x14ac:dyDescent="0.3">
      <c r="A116" t="s">
        <v>71</v>
      </c>
      <c r="B116">
        <v>200</v>
      </c>
      <c r="C116" s="5">
        <f t="shared" si="4"/>
        <v>6.049999999999889E-4</v>
      </c>
      <c r="D116">
        <v>2.2000000000000002</v>
      </c>
      <c r="E116" s="1">
        <f t="shared" si="5"/>
        <v>0.47986111111111118</v>
      </c>
      <c r="F116" s="3">
        <v>46134</v>
      </c>
    </row>
    <row r="117" spans="1:6" x14ac:dyDescent="0.3">
      <c r="A117" t="s">
        <v>72</v>
      </c>
      <c r="B117">
        <v>200</v>
      </c>
      <c r="C117" s="5">
        <f t="shared" si="4"/>
        <v>1.3100000000000112E-3</v>
      </c>
      <c r="D117">
        <v>2.2284999999999999</v>
      </c>
      <c r="E117" s="1">
        <f t="shared" si="5"/>
        <v>0.48055555555555562</v>
      </c>
      <c r="F117" s="3">
        <v>46134</v>
      </c>
    </row>
    <row r="118" spans="1:6" x14ac:dyDescent="0.3">
      <c r="A118" t="s">
        <v>73</v>
      </c>
      <c r="B118">
        <v>200</v>
      </c>
      <c r="C118" s="5">
        <f t="shared" si="4"/>
        <v>5.7000000000000388E-4</v>
      </c>
      <c r="D118">
        <v>1.4563999999999999</v>
      </c>
      <c r="E118" s="1">
        <f t="shared" si="5"/>
        <v>0.48125000000000007</v>
      </c>
      <c r="F118" s="3">
        <v>46134</v>
      </c>
    </row>
    <row r="119" spans="1:6" x14ac:dyDescent="0.3">
      <c r="A119" t="s">
        <v>74</v>
      </c>
      <c r="B119">
        <v>200</v>
      </c>
      <c r="C119" s="5">
        <f t="shared" si="4"/>
        <v>7.8000000000000291E-4</v>
      </c>
      <c r="D119">
        <v>2.0177</v>
      </c>
      <c r="E119" s="1">
        <f t="shared" si="5"/>
        <v>0.48263888888888895</v>
      </c>
      <c r="F119" s="3">
        <v>46134</v>
      </c>
    </row>
    <row r="120" spans="1:6" x14ac:dyDescent="0.3">
      <c r="A120" t="s">
        <v>75</v>
      </c>
      <c r="B120">
        <v>200</v>
      </c>
      <c r="C120" s="5">
        <f t="shared" si="4"/>
        <v>1.0950000000000016E-3</v>
      </c>
      <c r="D120">
        <v>1.4202999999999999</v>
      </c>
      <c r="E120" s="1">
        <f t="shared" si="5"/>
        <v>0.48472222222222228</v>
      </c>
      <c r="F120" s="3">
        <v>46134</v>
      </c>
    </row>
    <row r="121" spans="1:6" x14ac:dyDescent="0.3">
      <c r="A121" t="s">
        <v>76</v>
      </c>
      <c r="B121">
        <v>200</v>
      </c>
      <c r="C121" s="5">
        <f t="shared" si="4"/>
        <v>1.0399999999999964E-3</v>
      </c>
      <c r="D121">
        <v>1.1974</v>
      </c>
      <c r="E121" s="1">
        <f t="shared" si="5"/>
        <v>0.48611111111111116</v>
      </c>
      <c r="F121" s="3">
        <v>46134</v>
      </c>
    </row>
    <row r="122" spans="1:6" x14ac:dyDescent="0.3">
      <c r="A122" t="s">
        <v>67</v>
      </c>
      <c r="B122">
        <v>220</v>
      </c>
      <c r="C122" s="2">
        <f t="shared" si="4"/>
        <v>6.5500000000000562E-4</v>
      </c>
      <c r="D122">
        <v>2.1421999999999999</v>
      </c>
      <c r="E122" s="8">
        <f t="shared" si="5"/>
        <v>0.48958333333333343</v>
      </c>
      <c r="F122" s="3">
        <v>46134</v>
      </c>
    </row>
    <row r="123" spans="1:6" x14ac:dyDescent="0.3">
      <c r="A123" t="s">
        <v>68</v>
      </c>
      <c r="B123">
        <v>220</v>
      </c>
      <c r="C123" s="5">
        <f t="shared" si="4"/>
        <v>1.3800000000000034E-3</v>
      </c>
      <c r="D123">
        <v>2.8794</v>
      </c>
      <c r="E123" s="1">
        <f t="shared" si="5"/>
        <v>0.49097222222222231</v>
      </c>
      <c r="F123" s="3">
        <v>46134</v>
      </c>
    </row>
    <row r="124" spans="1:6" x14ac:dyDescent="0.3">
      <c r="A124" t="s">
        <v>195</v>
      </c>
      <c r="B124">
        <v>220</v>
      </c>
      <c r="C124" s="2">
        <f t="shared" si="4"/>
        <v>6.6999999999999287E-4</v>
      </c>
      <c r="D124">
        <v>2.1852</v>
      </c>
      <c r="E124" s="1">
        <f t="shared" si="5"/>
        <v>0.49166666666666675</v>
      </c>
      <c r="F124" s="3">
        <v>46134</v>
      </c>
    </row>
    <row r="125" spans="1:6" x14ac:dyDescent="0.3">
      <c r="A125" t="s">
        <v>3</v>
      </c>
      <c r="B125">
        <v>220</v>
      </c>
      <c r="C125" s="2">
        <f t="shared" si="4"/>
        <v>7.9000000000000186E-4</v>
      </c>
      <c r="D125">
        <v>2.6057000000000001</v>
      </c>
      <c r="E125" s="1">
        <f t="shared" si="5"/>
        <v>0.49305555555555564</v>
      </c>
      <c r="F125" s="3">
        <v>46134</v>
      </c>
    </row>
    <row r="126" spans="1:6" x14ac:dyDescent="0.3">
      <c r="A126" t="s">
        <v>71</v>
      </c>
      <c r="B126">
        <v>220</v>
      </c>
      <c r="C126" s="5">
        <f t="shared" si="4"/>
        <v>5.7500000000001441E-4</v>
      </c>
      <c r="D126">
        <v>2.1884999999999999</v>
      </c>
      <c r="E126" s="1">
        <f t="shared" si="5"/>
        <v>0.49375000000000008</v>
      </c>
      <c r="F126" s="3">
        <v>46134</v>
      </c>
    </row>
    <row r="127" spans="1:6" x14ac:dyDescent="0.3">
      <c r="A127" t="s">
        <v>72</v>
      </c>
      <c r="B127">
        <v>220</v>
      </c>
      <c r="C127" s="5">
        <f t="shared" si="4"/>
        <v>1.2049999999999895E-3</v>
      </c>
      <c r="D127">
        <v>2.2044000000000001</v>
      </c>
      <c r="E127" s="1">
        <f t="shared" si="5"/>
        <v>0.49444444444444452</v>
      </c>
      <c r="F127" s="3">
        <v>46134</v>
      </c>
    </row>
    <row r="128" spans="1:6" x14ac:dyDescent="0.3">
      <c r="A128" t="s">
        <v>73</v>
      </c>
      <c r="B128">
        <v>220</v>
      </c>
      <c r="C128" s="5">
        <f t="shared" si="4"/>
        <v>5.2999999999999716E-4</v>
      </c>
      <c r="D128">
        <v>1.4458</v>
      </c>
      <c r="E128" s="1">
        <f t="shared" si="5"/>
        <v>0.49513888888888896</v>
      </c>
      <c r="F128" s="3">
        <v>46134</v>
      </c>
    </row>
    <row r="129" spans="1:6" x14ac:dyDescent="0.3">
      <c r="A129" t="s">
        <v>74</v>
      </c>
      <c r="B129">
        <v>220</v>
      </c>
      <c r="C129" s="5">
        <f t="shared" si="4"/>
        <v>6.9000000000001287E-4</v>
      </c>
      <c r="D129">
        <v>2.0038999999999998</v>
      </c>
      <c r="E129" s="1">
        <f t="shared" si="5"/>
        <v>0.49652777777777785</v>
      </c>
      <c r="F129" s="3">
        <v>46134</v>
      </c>
    </row>
    <row r="130" spans="1:6" x14ac:dyDescent="0.3">
      <c r="A130" t="s">
        <v>75</v>
      </c>
      <c r="B130">
        <v>220</v>
      </c>
      <c r="C130" s="5">
        <f t="shared" si="4"/>
        <v>1.0549999999999947E-3</v>
      </c>
      <c r="D130">
        <v>1.3992</v>
      </c>
      <c r="E130" s="1">
        <f t="shared" si="5"/>
        <v>0.49861111111111117</v>
      </c>
      <c r="F130" s="3">
        <v>46134</v>
      </c>
    </row>
    <row r="131" spans="1:6" x14ac:dyDescent="0.3">
      <c r="A131" t="s">
        <v>76</v>
      </c>
      <c r="B131">
        <v>220</v>
      </c>
      <c r="C131" s="5">
        <f t="shared" si="4"/>
        <v>1.0850000000000026E-3</v>
      </c>
      <c r="D131">
        <v>1.1757</v>
      </c>
      <c r="E131" s="1">
        <f t="shared" si="5"/>
        <v>0.5</v>
      </c>
      <c r="F131" s="3">
        <v>46134</v>
      </c>
    </row>
    <row r="132" spans="1:6" x14ac:dyDescent="0.3">
      <c r="A132" t="s">
        <v>67</v>
      </c>
      <c r="B132">
        <v>240</v>
      </c>
      <c r="C132" s="2">
        <f t="shared" si="4"/>
        <v>7.1499999999999895E-4</v>
      </c>
      <c r="D132">
        <v>2.1278999999999999</v>
      </c>
      <c r="E132" s="8">
        <f t="shared" si="5"/>
        <v>0.50347222222222232</v>
      </c>
      <c r="F132" s="3">
        <v>46134</v>
      </c>
    </row>
    <row r="133" spans="1:6" x14ac:dyDescent="0.3">
      <c r="A133" t="s">
        <v>68</v>
      </c>
      <c r="B133">
        <v>240</v>
      </c>
      <c r="C133" s="2">
        <f t="shared" si="4"/>
        <v>1.364999999999994E-3</v>
      </c>
      <c r="D133">
        <v>2.8521000000000001</v>
      </c>
      <c r="E133" s="1">
        <f t="shared" si="5"/>
        <v>0.5048611111111112</v>
      </c>
      <c r="F133" s="3">
        <v>46134</v>
      </c>
    </row>
    <row r="134" spans="1:6" x14ac:dyDescent="0.3">
      <c r="A134" t="s">
        <v>195</v>
      </c>
      <c r="B134">
        <v>240</v>
      </c>
      <c r="C134" s="2">
        <f t="shared" si="4"/>
        <v>6.3999999999999615E-4</v>
      </c>
      <c r="D134">
        <v>2.1724000000000001</v>
      </c>
      <c r="E134" s="1">
        <f t="shared" si="5"/>
        <v>0.50555555555555565</v>
      </c>
      <c r="F134" s="3">
        <v>46134</v>
      </c>
    </row>
    <row r="135" spans="1:6" x14ac:dyDescent="0.3">
      <c r="A135" t="s">
        <v>3</v>
      </c>
      <c r="B135">
        <v>240</v>
      </c>
      <c r="C135" s="2">
        <f t="shared" si="4"/>
        <v>8.6000000000001635E-4</v>
      </c>
      <c r="D135">
        <v>2.5884999999999998</v>
      </c>
      <c r="E135" s="1">
        <f t="shared" si="5"/>
        <v>0.50694444444444453</v>
      </c>
      <c r="F135" s="3">
        <v>46134</v>
      </c>
    </row>
    <row r="136" spans="1:6" x14ac:dyDescent="0.3">
      <c r="A136" t="s">
        <v>71</v>
      </c>
      <c r="B136">
        <v>240</v>
      </c>
      <c r="C136" s="2">
        <f t="shared" si="4"/>
        <v>5.6000000000000494E-4</v>
      </c>
      <c r="D136">
        <v>2.1772999999999998</v>
      </c>
      <c r="E136" s="1">
        <f t="shared" si="5"/>
        <v>0.50763888888888897</v>
      </c>
      <c r="F136" s="3">
        <v>46134</v>
      </c>
    </row>
    <row r="137" spans="1:6" x14ac:dyDescent="0.3">
      <c r="A137" t="s">
        <v>72</v>
      </c>
      <c r="B137">
        <v>240</v>
      </c>
      <c r="C137" s="2">
        <f t="shared" si="4"/>
        <v>1.2650000000000051E-3</v>
      </c>
      <c r="D137">
        <v>2.1791</v>
      </c>
      <c r="E137" s="1">
        <f t="shared" si="5"/>
        <v>0.50833333333333341</v>
      </c>
      <c r="F137" s="3">
        <v>46134</v>
      </c>
    </row>
    <row r="138" spans="1:6" x14ac:dyDescent="0.3">
      <c r="A138" t="s">
        <v>73</v>
      </c>
      <c r="B138">
        <v>240</v>
      </c>
      <c r="C138" s="9">
        <f t="shared" si="4"/>
        <v>5.3499999999999663E-4</v>
      </c>
      <c r="D138">
        <v>1.4351</v>
      </c>
      <c r="E138" s="1">
        <f t="shared" si="5"/>
        <v>0.50902777777777786</v>
      </c>
      <c r="F138" s="3">
        <v>46134</v>
      </c>
    </row>
    <row r="139" spans="1:6" x14ac:dyDescent="0.3">
      <c r="A139" t="s">
        <v>74</v>
      </c>
      <c r="B139">
        <v>240</v>
      </c>
      <c r="C139" s="5">
        <f t="shared" si="4"/>
        <v>6.649999999999934E-4</v>
      </c>
      <c r="D139">
        <v>1.9905999999999999</v>
      </c>
      <c r="E139" s="1">
        <f t="shared" si="5"/>
        <v>0.51041666666666674</v>
      </c>
      <c r="F139" s="3">
        <v>46134</v>
      </c>
    </row>
    <row r="140" spans="1:6" x14ac:dyDescent="0.3">
      <c r="A140" t="s">
        <v>75</v>
      </c>
      <c r="B140">
        <v>240</v>
      </c>
      <c r="C140" s="5">
        <f t="shared" si="4"/>
        <v>1.0149999999999992E-3</v>
      </c>
      <c r="D140">
        <v>1.3789</v>
      </c>
      <c r="E140" s="1">
        <f t="shared" si="5"/>
        <v>0.51250000000000007</v>
      </c>
      <c r="F140" s="3">
        <v>46134</v>
      </c>
    </row>
    <row r="141" spans="1:6" x14ac:dyDescent="0.3">
      <c r="A141" t="s">
        <v>76</v>
      </c>
      <c r="B141">
        <v>240</v>
      </c>
      <c r="C141" s="5">
        <f t="shared" si="4"/>
        <v>1.0050000000000003E-3</v>
      </c>
      <c r="D141">
        <v>1.1556</v>
      </c>
      <c r="E141" s="1">
        <f t="shared" si="5"/>
        <v>0.51388888888888884</v>
      </c>
      <c r="F141" s="3">
        <v>46134</v>
      </c>
    </row>
    <row r="142" spans="1:6" x14ac:dyDescent="0.3">
      <c r="A142" t="s">
        <v>67</v>
      </c>
      <c r="B142">
        <v>260</v>
      </c>
      <c r="C142" s="2">
        <f t="shared" si="4"/>
        <v>6.3499999999998562E-4</v>
      </c>
      <c r="D142">
        <v>2.1152000000000002</v>
      </c>
      <c r="E142" s="1">
        <f t="shared" si="5"/>
        <v>0.51736111111111116</v>
      </c>
      <c r="F142" s="3">
        <v>46134</v>
      </c>
    </row>
    <row r="143" spans="1:6" x14ac:dyDescent="0.3">
      <c r="A143" t="s">
        <v>68</v>
      </c>
      <c r="B143">
        <v>260</v>
      </c>
      <c r="C143" s="2">
        <f t="shared" si="4"/>
        <v>1.3500000000000068E-3</v>
      </c>
      <c r="D143">
        <v>2.8250999999999999</v>
      </c>
      <c r="E143" s="1">
        <f t="shared" si="5"/>
        <v>0.51875000000000004</v>
      </c>
      <c r="F143" s="3">
        <v>46134</v>
      </c>
    </row>
    <row r="144" spans="1:6" x14ac:dyDescent="0.3">
      <c r="A144" t="s">
        <v>195</v>
      </c>
      <c r="B144">
        <v>260</v>
      </c>
      <c r="C144" s="2">
        <f t="shared" si="4"/>
        <v>6.1999999999999837E-4</v>
      </c>
      <c r="D144">
        <v>2.16</v>
      </c>
      <c r="E144" s="1">
        <f t="shared" si="5"/>
        <v>0.51944444444444449</v>
      </c>
      <c r="F144" s="3">
        <v>46134</v>
      </c>
    </row>
    <row r="145" spans="1:6" x14ac:dyDescent="0.3">
      <c r="A145" t="s">
        <v>3</v>
      </c>
      <c r="B145">
        <v>260</v>
      </c>
      <c r="C145" s="2">
        <f t="shared" si="4"/>
        <v>8.3999999999999635E-4</v>
      </c>
      <c r="D145">
        <v>2.5716999999999999</v>
      </c>
      <c r="E145" s="1">
        <f t="shared" si="5"/>
        <v>0.52083333333333337</v>
      </c>
      <c r="F145" s="3">
        <v>46134</v>
      </c>
    </row>
    <row r="146" spans="1:6" x14ac:dyDescent="0.3">
      <c r="A146" t="s">
        <v>71</v>
      </c>
      <c r="B146">
        <v>260</v>
      </c>
      <c r="C146" s="2">
        <f t="shared" si="4"/>
        <v>6.0999999999999943E-4</v>
      </c>
      <c r="D146">
        <v>2.1650999999999998</v>
      </c>
      <c r="E146" s="1">
        <f t="shared" si="5"/>
        <v>0.52152777777777781</v>
      </c>
      <c r="F146" s="3">
        <v>46134</v>
      </c>
    </row>
    <row r="147" spans="1:6" x14ac:dyDescent="0.3">
      <c r="A147" t="s">
        <v>72</v>
      </c>
      <c r="B147">
        <v>260</v>
      </c>
      <c r="C147" s="2">
        <f t="shared" si="4"/>
        <v>1.2450000000000072E-3</v>
      </c>
      <c r="D147">
        <v>2.1541999999999999</v>
      </c>
      <c r="E147" s="1">
        <f t="shared" si="5"/>
        <v>0.52222222222222225</v>
      </c>
      <c r="F147" s="3">
        <v>46134</v>
      </c>
    </row>
    <row r="148" spans="1:6" x14ac:dyDescent="0.3">
      <c r="A148" t="s">
        <v>73</v>
      </c>
      <c r="B148">
        <v>260</v>
      </c>
      <c r="C148" s="9">
        <f t="shared" si="4"/>
        <v>5.2499999999999769E-4</v>
      </c>
      <c r="D148">
        <v>1.4246000000000001</v>
      </c>
      <c r="E148" s="1">
        <f t="shared" si="5"/>
        <v>0.5229166666666667</v>
      </c>
      <c r="F148" s="3">
        <v>46134</v>
      </c>
    </row>
    <row r="149" spans="1:6" x14ac:dyDescent="0.3">
      <c r="A149" t="s">
        <v>74</v>
      </c>
      <c r="B149">
        <v>260</v>
      </c>
      <c r="C149" s="5">
        <f t="shared" si="4"/>
        <v>6.2999999999999721E-4</v>
      </c>
      <c r="D149">
        <v>1.978</v>
      </c>
      <c r="E149" s="1">
        <f t="shared" si="5"/>
        <v>0.52430555555555558</v>
      </c>
      <c r="F149" s="3">
        <v>46134</v>
      </c>
    </row>
    <row r="150" spans="1:6" x14ac:dyDescent="0.3">
      <c r="A150" t="s">
        <v>75</v>
      </c>
      <c r="B150">
        <v>260</v>
      </c>
      <c r="C150" s="5">
        <f t="shared" si="4"/>
        <v>1.0299999999999975E-3</v>
      </c>
      <c r="D150">
        <v>1.3583000000000001</v>
      </c>
      <c r="E150" s="1">
        <f t="shared" si="5"/>
        <v>0.52638888888888891</v>
      </c>
      <c r="F150" s="3">
        <v>46134</v>
      </c>
    </row>
    <row r="151" spans="1:6" x14ac:dyDescent="0.3">
      <c r="A151" t="s">
        <v>76</v>
      </c>
      <c r="B151">
        <v>260</v>
      </c>
      <c r="C151" s="5">
        <f t="shared" ref="C151" si="6">(D141-D151)/20</f>
        <v>9.8500000000000258E-4</v>
      </c>
      <c r="D151">
        <v>1.1358999999999999</v>
      </c>
      <c r="E151" s="1">
        <f t="shared" si="5"/>
        <v>0.52777777777777768</v>
      </c>
      <c r="F151" s="3">
        <v>46134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17F7C-012C-4C8E-BC79-2749B45AB867}">
  <dimension ref="A1:F168"/>
  <sheetViews>
    <sheetView workbookViewId="0">
      <selection activeCell="A11" sqref="A11:F136"/>
    </sheetView>
  </sheetViews>
  <sheetFormatPr baseColWidth="10" defaultRowHeight="14.4" x14ac:dyDescent="0.3"/>
  <cols>
    <col min="3" max="3" width="11.5546875" style="5"/>
  </cols>
  <sheetData>
    <row r="1" spans="1:6" x14ac:dyDescent="0.3">
      <c r="A1" t="s">
        <v>0</v>
      </c>
      <c r="B1" t="s">
        <v>21</v>
      </c>
      <c r="C1" s="5" t="s">
        <v>31</v>
      </c>
    </row>
    <row r="2" spans="1:6" x14ac:dyDescent="0.3">
      <c r="A2" t="s">
        <v>78</v>
      </c>
      <c r="D2">
        <v>1.4952000000000001</v>
      </c>
      <c r="E2" s="1">
        <v>0.36875000000000002</v>
      </c>
      <c r="F2" s="3">
        <v>46166</v>
      </c>
    </row>
    <row r="3" spans="1:6" x14ac:dyDescent="0.3">
      <c r="A3" t="s">
        <v>79</v>
      </c>
      <c r="D3">
        <v>1.1903999999999999</v>
      </c>
      <c r="E3" s="1">
        <v>0.36944444444444446</v>
      </c>
      <c r="F3" s="3">
        <v>46166</v>
      </c>
    </row>
    <row r="4" spans="1:6" x14ac:dyDescent="0.3">
      <c r="A4" t="s">
        <v>80</v>
      </c>
      <c r="D4">
        <v>2.4628999999999999</v>
      </c>
      <c r="E4" s="1">
        <v>0.37013888888888891</v>
      </c>
      <c r="F4" s="3">
        <v>46166</v>
      </c>
    </row>
    <row r="5" spans="1:6" x14ac:dyDescent="0.3">
      <c r="A5" t="s">
        <v>81</v>
      </c>
      <c r="D5">
        <v>1.9722</v>
      </c>
      <c r="E5" s="1">
        <v>0.37152777777777779</v>
      </c>
      <c r="F5" s="3">
        <v>46166</v>
      </c>
    </row>
    <row r="6" spans="1:6" x14ac:dyDescent="0.3">
      <c r="A6" t="s">
        <v>82</v>
      </c>
      <c r="D6">
        <v>1.3291999999999999</v>
      </c>
      <c r="E6" s="1">
        <v>0.37222222222222223</v>
      </c>
      <c r="F6" s="3">
        <v>46166</v>
      </c>
    </row>
    <row r="7" spans="1:6" x14ac:dyDescent="0.3">
      <c r="A7" t="s">
        <v>83</v>
      </c>
      <c r="D7">
        <v>1.8653</v>
      </c>
      <c r="E7" s="1">
        <v>0.37430555555555556</v>
      </c>
      <c r="F7" s="3">
        <v>46166</v>
      </c>
    </row>
    <row r="8" spans="1:6" x14ac:dyDescent="0.3">
      <c r="A8" t="s">
        <v>84</v>
      </c>
      <c r="D8">
        <v>2.6537000000000002</v>
      </c>
      <c r="E8" s="1">
        <v>0.37569444444444444</v>
      </c>
      <c r="F8" s="3">
        <v>46166</v>
      </c>
    </row>
    <row r="9" spans="1:6" x14ac:dyDescent="0.3">
      <c r="A9" t="s">
        <v>85</v>
      </c>
      <c r="D9">
        <v>2.3679000000000001</v>
      </c>
      <c r="E9" s="1">
        <v>0.37708333333333333</v>
      </c>
      <c r="F9" s="3">
        <v>46166</v>
      </c>
    </row>
    <row r="10" spans="1:6" x14ac:dyDescent="0.3">
      <c r="A10" t="s">
        <v>86</v>
      </c>
      <c r="D10">
        <v>3.3917000000000002</v>
      </c>
      <c r="E10" s="1">
        <v>0.37847222222222221</v>
      </c>
      <c r="F10" s="3">
        <v>46166</v>
      </c>
    </row>
    <row r="11" spans="1:6" x14ac:dyDescent="0.3">
      <c r="A11" t="s">
        <v>78</v>
      </c>
      <c r="B11">
        <v>0</v>
      </c>
      <c r="C11" s="5">
        <v>0</v>
      </c>
      <c r="D11">
        <v>1.4763999999999999</v>
      </c>
      <c r="E11" s="1">
        <f>E2+(15/1440)</f>
        <v>0.37916666666666671</v>
      </c>
      <c r="F11" s="3">
        <v>46166</v>
      </c>
    </row>
    <row r="12" spans="1:6" x14ac:dyDescent="0.3">
      <c r="A12" t="s">
        <v>79</v>
      </c>
      <c r="B12">
        <v>0</v>
      </c>
      <c r="C12" s="5">
        <v>0</v>
      </c>
      <c r="D12">
        <v>1.1801999999999999</v>
      </c>
      <c r="E12" s="1">
        <f t="shared" ref="E12:E19" si="0">E3+(15/1440)</f>
        <v>0.37986111111111115</v>
      </c>
      <c r="F12" s="3">
        <v>46166</v>
      </c>
    </row>
    <row r="13" spans="1:6" x14ac:dyDescent="0.3">
      <c r="A13" t="s">
        <v>80</v>
      </c>
      <c r="B13">
        <v>0</v>
      </c>
      <c r="C13" s="5">
        <v>0</v>
      </c>
      <c r="D13">
        <v>2.4496000000000002</v>
      </c>
      <c r="E13" s="1">
        <f t="shared" si="0"/>
        <v>0.38055555555555559</v>
      </c>
      <c r="F13" s="3">
        <v>46166</v>
      </c>
    </row>
    <row r="14" spans="1:6" x14ac:dyDescent="0.3">
      <c r="A14" t="s">
        <v>81</v>
      </c>
      <c r="B14">
        <v>0</v>
      </c>
      <c r="C14" s="5">
        <v>0</v>
      </c>
      <c r="D14">
        <v>1.9561999999999999</v>
      </c>
      <c r="E14" s="1">
        <f t="shared" si="0"/>
        <v>0.38194444444444448</v>
      </c>
      <c r="F14" s="3">
        <v>46166</v>
      </c>
    </row>
    <row r="15" spans="1:6" x14ac:dyDescent="0.3">
      <c r="A15" t="s">
        <v>82</v>
      </c>
      <c r="B15">
        <v>0</v>
      </c>
      <c r="C15" s="5">
        <v>0</v>
      </c>
      <c r="D15">
        <v>1.3160000000000001</v>
      </c>
      <c r="E15" s="1">
        <f t="shared" si="0"/>
        <v>0.38263888888888892</v>
      </c>
      <c r="F15" s="3">
        <v>46166</v>
      </c>
    </row>
    <row r="16" spans="1:6" x14ac:dyDescent="0.3">
      <c r="A16" t="s">
        <v>83</v>
      </c>
      <c r="B16">
        <v>0</v>
      </c>
      <c r="C16" s="5">
        <v>0</v>
      </c>
      <c r="D16">
        <v>1.8498000000000001</v>
      </c>
      <c r="E16" s="1">
        <f t="shared" si="0"/>
        <v>0.38472222222222224</v>
      </c>
      <c r="F16" s="3">
        <v>46166</v>
      </c>
    </row>
    <row r="17" spans="1:6" x14ac:dyDescent="0.3">
      <c r="A17" t="s">
        <v>84</v>
      </c>
      <c r="B17">
        <v>0</v>
      </c>
      <c r="C17" s="5">
        <v>0</v>
      </c>
      <c r="D17">
        <v>2.6337999999999999</v>
      </c>
      <c r="E17" s="1">
        <f t="shared" si="0"/>
        <v>0.38611111111111113</v>
      </c>
      <c r="F17" s="3">
        <v>46166</v>
      </c>
    </row>
    <row r="18" spans="1:6" x14ac:dyDescent="0.3">
      <c r="A18" t="s">
        <v>85</v>
      </c>
      <c r="B18">
        <v>0</v>
      </c>
      <c r="C18" s="5">
        <v>0</v>
      </c>
      <c r="D18">
        <v>2.3557999999999999</v>
      </c>
      <c r="E18" s="1">
        <f t="shared" si="0"/>
        <v>0.38750000000000001</v>
      </c>
      <c r="F18" s="3">
        <v>46166</v>
      </c>
    </row>
    <row r="19" spans="1:6" x14ac:dyDescent="0.3">
      <c r="A19" t="s">
        <v>86</v>
      </c>
      <c r="B19">
        <v>0</v>
      </c>
      <c r="C19" s="5">
        <v>0</v>
      </c>
      <c r="D19">
        <v>3.3721999999999999</v>
      </c>
      <c r="E19" s="1">
        <f t="shared" si="0"/>
        <v>0.3888888888888889</v>
      </c>
      <c r="F19" s="3">
        <v>46166</v>
      </c>
    </row>
    <row r="20" spans="1:6" x14ac:dyDescent="0.3">
      <c r="A20" t="s">
        <v>78</v>
      </c>
      <c r="B20">
        <v>20</v>
      </c>
      <c r="C20" s="5">
        <f>((D11-D20))/20</f>
        <v>1.0149999999999992E-3</v>
      </c>
      <c r="D20">
        <v>1.4560999999999999</v>
      </c>
      <c r="E20" s="1">
        <f>E11+(20/1440)</f>
        <v>0.3930555555555556</v>
      </c>
      <c r="F20" s="3">
        <v>46166</v>
      </c>
    </row>
    <row r="21" spans="1:6" x14ac:dyDescent="0.3">
      <c r="A21" t="s">
        <v>79</v>
      </c>
      <c r="B21">
        <v>20</v>
      </c>
      <c r="C21" s="5">
        <f t="shared" ref="C21:C84" si="1">((D12-D21))/20</f>
        <v>3.649999999999931E-4</v>
      </c>
      <c r="D21">
        <v>1.1729000000000001</v>
      </c>
      <c r="E21" s="1">
        <f t="shared" ref="E21:E84" si="2">E12+(20/1440)</f>
        <v>0.39375000000000004</v>
      </c>
      <c r="F21" s="3">
        <v>46166</v>
      </c>
    </row>
    <row r="22" spans="1:6" x14ac:dyDescent="0.3">
      <c r="A22" t="s">
        <v>80</v>
      </c>
      <c r="B22">
        <v>20</v>
      </c>
      <c r="C22" s="5">
        <f t="shared" si="1"/>
        <v>7.000000000000117E-4</v>
      </c>
      <c r="D22">
        <v>2.4356</v>
      </c>
      <c r="E22" s="1">
        <f t="shared" si="2"/>
        <v>0.39444444444444449</v>
      </c>
      <c r="F22" s="3">
        <v>46166</v>
      </c>
    </row>
    <row r="23" spans="1:6" x14ac:dyDescent="0.3">
      <c r="A23" t="s">
        <v>81</v>
      </c>
      <c r="B23">
        <v>20</v>
      </c>
      <c r="C23" s="5">
        <f t="shared" si="1"/>
        <v>8.4999999999999518E-4</v>
      </c>
      <c r="D23">
        <v>1.9392</v>
      </c>
      <c r="E23" s="1">
        <f t="shared" si="2"/>
        <v>0.39583333333333337</v>
      </c>
      <c r="F23" s="3">
        <v>46166</v>
      </c>
    </row>
    <row r="24" spans="1:6" x14ac:dyDescent="0.3">
      <c r="A24" t="s">
        <v>82</v>
      </c>
      <c r="B24">
        <v>20</v>
      </c>
      <c r="C24" s="5">
        <f t="shared" si="1"/>
        <v>6.4500000000000668E-4</v>
      </c>
      <c r="D24">
        <v>1.3030999999999999</v>
      </c>
      <c r="E24" s="1">
        <f t="shared" si="2"/>
        <v>0.39652777777777781</v>
      </c>
      <c r="F24" s="3">
        <v>46166</v>
      </c>
    </row>
    <row r="25" spans="1:6" x14ac:dyDescent="0.3">
      <c r="A25" t="s">
        <v>83</v>
      </c>
      <c r="B25">
        <v>20</v>
      </c>
      <c r="C25" s="5">
        <f t="shared" si="1"/>
        <v>8.0000000000000069E-4</v>
      </c>
      <c r="D25">
        <v>1.8338000000000001</v>
      </c>
      <c r="E25" s="1">
        <f t="shared" si="2"/>
        <v>0.39861111111111114</v>
      </c>
      <c r="F25" s="3">
        <v>46166</v>
      </c>
    </row>
    <row r="26" spans="1:6" x14ac:dyDescent="0.3">
      <c r="A26" t="s">
        <v>84</v>
      </c>
      <c r="B26">
        <v>20</v>
      </c>
      <c r="C26" s="5">
        <f t="shared" si="1"/>
        <v>1.4599999999999947E-3</v>
      </c>
      <c r="D26">
        <v>2.6046</v>
      </c>
      <c r="E26" s="1">
        <f t="shared" si="2"/>
        <v>0.4</v>
      </c>
      <c r="F26" s="3">
        <v>46166</v>
      </c>
    </row>
    <row r="27" spans="1:6" x14ac:dyDescent="0.3">
      <c r="A27" t="s">
        <v>85</v>
      </c>
      <c r="B27">
        <v>20</v>
      </c>
      <c r="C27" s="5">
        <f t="shared" si="1"/>
        <v>8.799999999999919E-4</v>
      </c>
      <c r="D27">
        <v>2.3382000000000001</v>
      </c>
      <c r="E27" s="1">
        <f t="shared" si="2"/>
        <v>0.40138888888888891</v>
      </c>
      <c r="F27" s="3">
        <v>46166</v>
      </c>
    </row>
    <row r="28" spans="1:6" x14ac:dyDescent="0.3">
      <c r="A28" t="s">
        <v>86</v>
      </c>
      <c r="B28">
        <v>20</v>
      </c>
      <c r="C28" s="5">
        <f t="shared" si="1"/>
        <v>1.5149999999999996E-3</v>
      </c>
      <c r="D28">
        <v>3.3418999999999999</v>
      </c>
      <c r="E28" s="1">
        <f t="shared" si="2"/>
        <v>0.40277777777777779</v>
      </c>
      <c r="F28" s="3">
        <v>46166</v>
      </c>
    </row>
    <row r="29" spans="1:6" x14ac:dyDescent="0.3">
      <c r="A29" t="s">
        <v>78</v>
      </c>
      <c r="B29">
        <v>40</v>
      </c>
      <c r="C29" s="5">
        <f t="shared" si="1"/>
        <v>1.8549999999999955E-3</v>
      </c>
      <c r="D29">
        <v>1.419</v>
      </c>
      <c r="E29" s="1">
        <f t="shared" si="2"/>
        <v>0.4069444444444445</v>
      </c>
      <c r="F29" s="3">
        <v>46166</v>
      </c>
    </row>
    <row r="30" spans="1:6" x14ac:dyDescent="0.3">
      <c r="A30" t="s">
        <v>79</v>
      </c>
      <c r="B30">
        <v>40</v>
      </c>
      <c r="C30" s="5">
        <f t="shared" si="1"/>
        <v>3.4000000000000696E-4</v>
      </c>
      <c r="D30">
        <v>1.1660999999999999</v>
      </c>
      <c r="E30" s="1">
        <f t="shared" si="2"/>
        <v>0.40763888888888894</v>
      </c>
      <c r="F30" s="3">
        <v>46166</v>
      </c>
    </row>
    <row r="31" spans="1:6" x14ac:dyDescent="0.3">
      <c r="A31" t="s">
        <v>80</v>
      </c>
      <c r="B31">
        <v>40</v>
      </c>
      <c r="C31" s="5">
        <f t="shared" si="1"/>
        <v>9.0999999999998862E-4</v>
      </c>
      <c r="D31">
        <v>2.4174000000000002</v>
      </c>
      <c r="E31" s="1">
        <f t="shared" si="2"/>
        <v>0.40833333333333338</v>
      </c>
      <c r="F31" s="3">
        <v>46166</v>
      </c>
    </row>
    <row r="32" spans="1:6" x14ac:dyDescent="0.3">
      <c r="A32" t="s">
        <v>81</v>
      </c>
      <c r="B32">
        <v>40</v>
      </c>
      <c r="C32" s="5">
        <f t="shared" si="1"/>
        <v>7.3499999999999672E-4</v>
      </c>
      <c r="D32">
        <v>1.9245000000000001</v>
      </c>
      <c r="E32" s="1">
        <f t="shared" si="2"/>
        <v>0.40972222222222227</v>
      </c>
      <c r="F32" s="3">
        <v>46166</v>
      </c>
    </row>
    <row r="33" spans="1:6" x14ac:dyDescent="0.3">
      <c r="A33" t="s">
        <v>82</v>
      </c>
      <c r="B33">
        <v>40</v>
      </c>
      <c r="C33" s="5">
        <f t="shared" si="1"/>
        <v>6.4999999999999498E-4</v>
      </c>
      <c r="D33">
        <v>1.2901</v>
      </c>
      <c r="E33" s="1">
        <f t="shared" si="2"/>
        <v>0.41041666666666671</v>
      </c>
      <c r="F33" s="3">
        <v>46166</v>
      </c>
    </row>
    <row r="34" spans="1:6" x14ac:dyDescent="0.3">
      <c r="A34" t="s">
        <v>83</v>
      </c>
      <c r="B34">
        <v>40</v>
      </c>
      <c r="C34" s="5">
        <f t="shared" si="1"/>
        <v>8.8000000000000296E-4</v>
      </c>
      <c r="D34">
        <v>1.8162</v>
      </c>
      <c r="E34" s="1">
        <f t="shared" si="2"/>
        <v>0.41250000000000003</v>
      </c>
      <c r="F34" s="3">
        <v>46166</v>
      </c>
    </row>
    <row r="35" spans="1:6" x14ac:dyDescent="0.3">
      <c r="A35" t="s">
        <v>84</v>
      </c>
      <c r="B35">
        <v>40</v>
      </c>
      <c r="C35" s="5">
        <f t="shared" si="1"/>
        <v>1.374999999999993E-3</v>
      </c>
      <c r="D35">
        <v>2.5771000000000002</v>
      </c>
      <c r="E35" s="1">
        <f t="shared" si="2"/>
        <v>0.41388888888888892</v>
      </c>
      <c r="F35" s="3">
        <v>46166</v>
      </c>
    </row>
    <row r="36" spans="1:6" x14ac:dyDescent="0.3">
      <c r="A36" t="s">
        <v>85</v>
      </c>
      <c r="B36">
        <v>40</v>
      </c>
      <c r="C36" s="5">
        <f t="shared" si="1"/>
        <v>9.000000000000119E-4</v>
      </c>
      <c r="D36">
        <v>2.3201999999999998</v>
      </c>
      <c r="E36" s="1">
        <f t="shared" si="2"/>
        <v>0.4152777777777778</v>
      </c>
      <c r="F36" s="3">
        <v>46166</v>
      </c>
    </row>
    <row r="37" spans="1:6" x14ac:dyDescent="0.3">
      <c r="A37" t="s">
        <v>86</v>
      </c>
      <c r="B37">
        <v>40</v>
      </c>
      <c r="C37" s="5">
        <f t="shared" si="1"/>
        <v>1.3800000000000034E-3</v>
      </c>
      <c r="D37">
        <v>3.3142999999999998</v>
      </c>
      <c r="E37" s="1">
        <f t="shared" si="2"/>
        <v>0.41666666666666669</v>
      </c>
      <c r="F37" s="3">
        <v>46166</v>
      </c>
    </row>
    <row r="38" spans="1:6" x14ac:dyDescent="0.3">
      <c r="A38" t="s">
        <v>78</v>
      </c>
      <c r="B38">
        <v>60</v>
      </c>
      <c r="C38" s="5">
        <f t="shared" si="1"/>
        <v>1.3000000000000012E-3</v>
      </c>
      <c r="D38">
        <v>1.393</v>
      </c>
      <c r="E38" s="1">
        <f t="shared" si="2"/>
        <v>0.42083333333333339</v>
      </c>
      <c r="F38" s="3">
        <v>46166</v>
      </c>
    </row>
    <row r="39" spans="1:6" x14ac:dyDescent="0.3">
      <c r="A39" t="s">
        <v>79</v>
      </c>
      <c r="B39">
        <v>60</v>
      </c>
      <c r="C39" s="5">
        <f t="shared" si="1"/>
        <v>3.5999999999999368E-4</v>
      </c>
      <c r="D39">
        <v>1.1589</v>
      </c>
      <c r="E39" s="1">
        <f t="shared" si="2"/>
        <v>0.42152777777777783</v>
      </c>
      <c r="F39" s="3">
        <v>46166</v>
      </c>
    </row>
    <row r="40" spans="1:6" x14ac:dyDescent="0.3">
      <c r="A40" t="s">
        <v>80</v>
      </c>
      <c r="B40">
        <v>60</v>
      </c>
      <c r="C40" s="5">
        <f t="shared" si="1"/>
        <v>9.1000000000001084E-4</v>
      </c>
      <c r="D40">
        <v>2.3992</v>
      </c>
      <c r="E40" s="1">
        <f t="shared" si="2"/>
        <v>0.42222222222222228</v>
      </c>
      <c r="F40" s="3">
        <v>46166</v>
      </c>
    </row>
    <row r="41" spans="1:6" x14ac:dyDescent="0.3">
      <c r="A41" t="s">
        <v>81</v>
      </c>
      <c r="B41">
        <v>60</v>
      </c>
      <c r="C41" s="5">
        <f t="shared" si="1"/>
        <v>8.4500000000000688E-4</v>
      </c>
      <c r="D41">
        <v>1.9076</v>
      </c>
      <c r="E41" s="1">
        <f t="shared" si="2"/>
        <v>0.42361111111111116</v>
      </c>
      <c r="F41" s="3">
        <v>46166</v>
      </c>
    </row>
    <row r="42" spans="1:6" x14ac:dyDescent="0.3">
      <c r="A42" t="s">
        <v>82</v>
      </c>
      <c r="B42">
        <v>60</v>
      </c>
      <c r="C42" s="5">
        <f t="shared" si="1"/>
        <v>6.6500000000000445E-4</v>
      </c>
      <c r="D42">
        <v>1.2767999999999999</v>
      </c>
      <c r="E42" s="1">
        <f t="shared" si="2"/>
        <v>0.4243055555555556</v>
      </c>
      <c r="F42" s="3">
        <v>46166</v>
      </c>
    </row>
    <row r="43" spans="1:6" x14ac:dyDescent="0.3">
      <c r="A43" t="s">
        <v>83</v>
      </c>
      <c r="B43">
        <v>60</v>
      </c>
      <c r="C43" s="5">
        <f t="shared" si="1"/>
        <v>8.3999999999999635E-4</v>
      </c>
      <c r="D43">
        <v>1.7994000000000001</v>
      </c>
      <c r="E43" s="1">
        <f t="shared" si="2"/>
        <v>0.42638888888888893</v>
      </c>
      <c r="F43" s="3">
        <v>46166</v>
      </c>
    </row>
    <row r="44" spans="1:6" x14ac:dyDescent="0.3">
      <c r="A44" t="s">
        <v>84</v>
      </c>
      <c r="B44">
        <v>60</v>
      </c>
      <c r="C44" s="5">
        <f t="shared" si="1"/>
        <v>1.3300000000000089E-3</v>
      </c>
      <c r="D44">
        <v>2.5505</v>
      </c>
      <c r="E44" s="1">
        <f t="shared" si="2"/>
        <v>0.42777777777777781</v>
      </c>
      <c r="F44" s="3">
        <v>46166</v>
      </c>
    </row>
    <row r="45" spans="1:6" x14ac:dyDescent="0.3">
      <c r="A45" t="s">
        <v>85</v>
      </c>
      <c r="B45">
        <v>60</v>
      </c>
      <c r="C45" s="5">
        <f t="shared" si="1"/>
        <v>8.2499999999998688E-4</v>
      </c>
      <c r="D45">
        <v>2.3037000000000001</v>
      </c>
      <c r="E45" s="1">
        <f t="shared" si="2"/>
        <v>0.4291666666666667</v>
      </c>
      <c r="F45" s="3">
        <v>46166</v>
      </c>
    </row>
    <row r="46" spans="1:6" x14ac:dyDescent="0.3">
      <c r="A46" t="s">
        <v>86</v>
      </c>
      <c r="B46">
        <v>60</v>
      </c>
      <c r="C46" s="5">
        <f t="shared" si="1"/>
        <v>1.2599999999999944E-3</v>
      </c>
      <c r="D46">
        <v>3.2890999999999999</v>
      </c>
      <c r="E46" s="1">
        <f t="shared" si="2"/>
        <v>0.43055555555555558</v>
      </c>
      <c r="F46" s="3">
        <v>46166</v>
      </c>
    </row>
    <row r="47" spans="1:6" x14ac:dyDescent="0.3">
      <c r="A47" t="s">
        <v>78</v>
      </c>
      <c r="B47">
        <v>80</v>
      </c>
      <c r="C47" s="5">
        <f t="shared" si="1"/>
        <v>9.3499999999999692E-4</v>
      </c>
      <c r="D47">
        <v>1.3743000000000001</v>
      </c>
      <c r="E47" s="1">
        <f t="shared" si="2"/>
        <v>0.43472222222222229</v>
      </c>
      <c r="F47" s="3">
        <v>46166</v>
      </c>
    </row>
    <row r="48" spans="1:6" x14ac:dyDescent="0.3">
      <c r="A48" t="s">
        <v>79</v>
      </c>
      <c r="B48">
        <v>80</v>
      </c>
      <c r="C48" s="5">
        <f t="shared" si="1"/>
        <v>3.2499999999999749E-4</v>
      </c>
      <c r="D48">
        <v>1.1524000000000001</v>
      </c>
      <c r="E48" s="1">
        <f t="shared" si="2"/>
        <v>0.43541666666666673</v>
      </c>
      <c r="F48" s="3">
        <v>46166</v>
      </c>
    </row>
    <row r="49" spans="1:6" x14ac:dyDescent="0.3">
      <c r="A49" t="s">
        <v>80</v>
      </c>
      <c r="B49">
        <v>80</v>
      </c>
      <c r="C49" s="5">
        <f t="shared" si="1"/>
        <v>8.250000000000091E-4</v>
      </c>
      <c r="D49">
        <v>2.3826999999999998</v>
      </c>
      <c r="E49" s="1">
        <f t="shared" si="2"/>
        <v>0.43611111111111117</v>
      </c>
      <c r="F49" s="3">
        <v>46166</v>
      </c>
    </row>
    <row r="50" spans="1:6" x14ac:dyDescent="0.3">
      <c r="A50" t="s">
        <v>81</v>
      </c>
      <c r="B50">
        <v>80</v>
      </c>
      <c r="C50" s="5">
        <f t="shared" si="1"/>
        <v>9.3499999999999692E-4</v>
      </c>
      <c r="D50">
        <v>1.8889</v>
      </c>
      <c r="E50" s="1">
        <f t="shared" si="2"/>
        <v>0.43750000000000006</v>
      </c>
      <c r="F50" s="3">
        <v>46166</v>
      </c>
    </row>
    <row r="51" spans="1:6" x14ac:dyDescent="0.3">
      <c r="A51" t="s">
        <v>82</v>
      </c>
      <c r="B51">
        <v>80</v>
      </c>
      <c r="C51" s="5">
        <f t="shared" si="1"/>
        <v>7.1999999999999842E-4</v>
      </c>
      <c r="D51">
        <v>1.2624</v>
      </c>
      <c r="E51" s="1">
        <f t="shared" si="2"/>
        <v>0.4381944444444445</v>
      </c>
      <c r="F51" s="3">
        <v>46166</v>
      </c>
    </row>
    <row r="52" spans="1:6" x14ac:dyDescent="0.3">
      <c r="A52" t="s">
        <v>83</v>
      </c>
      <c r="B52">
        <v>80</v>
      </c>
      <c r="C52" s="5">
        <f t="shared" si="1"/>
        <v>8.750000000000036E-4</v>
      </c>
      <c r="D52">
        <v>1.7819</v>
      </c>
      <c r="E52" s="1">
        <f t="shared" si="2"/>
        <v>0.44027777777777782</v>
      </c>
      <c r="F52" s="3">
        <v>46166</v>
      </c>
    </row>
    <row r="53" spans="1:6" x14ac:dyDescent="0.3">
      <c r="A53" t="s">
        <v>84</v>
      </c>
      <c r="B53">
        <v>80</v>
      </c>
      <c r="C53" s="5">
        <f t="shared" si="1"/>
        <v>1.6650000000000055E-3</v>
      </c>
      <c r="D53">
        <v>2.5171999999999999</v>
      </c>
      <c r="E53" s="1">
        <f t="shared" si="2"/>
        <v>0.44166666666666671</v>
      </c>
      <c r="F53" s="3">
        <v>46166</v>
      </c>
    </row>
    <row r="54" spans="1:6" x14ac:dyDescent="0.3">
      <c r="A54" t="s">
        <v>85</v>
      </c>
      <c r="B54">
        <v>80</v>
      </c>
      <c r="C54" s="5">
        <f t="shared" si="1"/>
        <v>9.2499999999999809E-4</v>
      </c>
      <c r="D54">
        <v>2.2852000000000001</v>
      </c>
      <c r="E54" s="1">
        <f t="shared" si="2"/>
        <v>0.44305555555555559</v>
      </c>
      <c r="F54" s="3">
        <v>46166</v>
      </c>
    </row>
    <row r="55" spans="1:6" x14ac:dyDescent="0.3">
      <c r="A55" t="s">
        <v>86</v>
      </c>
      <c r="B55">
        <v>80</v>
      </c>
      <c r="C55" s="5">
        <f t="shared" si="1"/>
        <v>1.4899999999999913E-3</v>
      </c>
      <c r="D55">
        <v>3.2593000000000001</v>
      </c>
      <c r="E55" s="1">
        <f t="shared" si="2"/>
        <v>0.44444444444444448</v>
      </c>
      <c r="F55" s="3">
        <v>46166</v>
      </c>
    </row>
    <row r="56" spans="1:6" x14ac:dyDescent="0.3">
      <c r="A56" t="s">
        <v>78</v>
      </c>
      <c r="B56">
        <f>B47+20</f>
        <v>100</v>
      </c>
      <c r="C56" s="5">
        <f t="shared" si="1"/>
        <v>8.900000000000019E-4</v>
      </c>
      <c r="D56">
        <v>1.3565</v>
      </c>
      <c r="E56" s="1">
        <f t="shared" si="2"/>
        <v>0.44861111111111118</v>
      </c>
      <c r="F56" s="3">
        <v>46166</v>
      </c>
    </row>
    <row r="57" spans="1:6" x14ac:dyDescent="0.3">
      <c r="A57" t="s">
        <v>79</v>
      </c>
      <c r="B57">
        <f t="shared" ref="B57:B120" si="3">B48+20</f>
        <v>100</v>
      </c>
      <c r="C57" s="5">
        <f t="shared" si="1"/>
        <v>3.6500000000000421E-4</v>
      </c>
      <c r="D57">
        <v>1.1451</v>
      </c>
      <c r="E57" s="1">
        <f t="shared" si="2"/>
        <v>0.44930555555555562</v>
      </c>
      <c r="F57" s="3">
        <v>46166</v>
      </c>
    </row>
    <row r="58" spans="1:6" x14ac:dyDescent="0.3">
      <c r="A58" t="s">
        <v>80</v>
      </c>
      <c r="B58">
        <f t="shared" si="3"/>
        <v>100</v>
      </c>
      <c r="C58" s="5">
        <f t="shared" si="1"/>
        <v>1.0649999999999826E-3</v>
      </c>
      <c r="D58">
        <v>2.3614000000000002</v>
      </c>
      <c r="E58" s="1">
        <f t="shared" si="2"/>
        <v>0.45000000000000007</v>
      </c>
      <c r="F58" s="3">
        <v>46166</v>
      </c>
    </row>
    <row r="59" spans="1:6" x14ac:dyDescent="0.3">
      <c r="A59" t="s">
        <v>81</v>
      </c>
      <c r="B59">
        <f t="shared" si="3"/>
        <v>100</v>
      </c>
      <c r="C59" s="5">
        <f t="shared" si="1"/>
        <v>1.1099999999999999E-3</v>
      </c>
      <c r="D59">
        <v>1.8667</v>
      </c>
      <c r="E59" s="1">
        <f t="shared" si="2"/>
        <v>0.45138888888888895</v>
      </c>
      <c r="F59" s="3">
        <v>46166</v>
      </c>
    </row>
    <row r="60" spans="1:6" x14ac:dyDescent="0.3">
      <c r="A60" t="s">
        <v>82</v>
      </c>
      <c r="B60">
        <f t="shared" si="3"/>
        <v>100</v>
      </c>
      <c r="C60" s="5">
        <f t="shared" si="1"/>
        <v>6.4999999999999498E-4</v>
      </c>
      <c r="D60">
        <v>1.2494000000000001</v>
      </c>
      <c r="E60" s="1">
        <f t="shared" si="2"/>
        <v>0.45208333333333339</v>
      </c>
      <c r="F60" s="3">
        <v>46166</v>
      </c>
    </row>
    <row r="61" spans="1:6" x14ac:dyDescent="0.3">
      <c r="A61" t="s">
        <v>83</v>
      </c>
      <c r="B61">
        <f t="shared" si="3"/>
        <v>100</v>
      </c>
      <c r="C61" s="5">
        <f t="shared" si="1"/>
        <v>8.7000000000000413E-4</v>
      </c>
      <c r="D61">
        <v>1.7645</v>
      </c>
      <c r="E61" s="1">
        <f t="shared" si="2"/>
        <v>0.45416666666666672</v>
      </c>
      <c r="F61" s="3">
        <v>46166</v>
      </c>
    </row>
    <row r="62" spans="1:6" x14ac:dyDescent="0.3">
      <c r="A62" t="s">
        <v>84</v>
      </c>
      <c r="B62">
        <f t="shared" si="3"/>
        <v>100</v>
      </c>
      <c r="C62" s="5">
        <f t="shared" si="1"/>
        <v>1.5149999999999996E-3</v>
      </c>
      <c r="D62">
        <v>2.4868999999999999</v>
      </c>
      <c r="E62" s="1">
        <f t="shared" si="2"/>
        <v>0.4555555555555556</v>
      </c>
      <c r="F62" s="3">
        <v>46166</v>
      </c>
    </row>
    <row r="63" spans="1:6" x14ac:dyDescent="0.3">
      <c r="A63" t="s">
        <v>85</v>
      </c>
      <c r="B63">
        <f t="shared" si="3"/>
        <v>100</v>
      </c>
      <c r="C63" s="5">
        <f t="shared" si="1"/>
        <v>8.3500000000000794E-4</v>
      </c>
      <c r="D63">
        <v>2.2685</v>
      </c>
      <c r="E63" s="1">
        <f t="shared" si="2"/>
        <v>0.45694444444444449</v>
      </c>
      <c r="F63" s="3">
        <v>46166</v>
      </c>
    </row>
    <row r="64" spans="1:6" x14ac:dyDescent="0.3">
      <c r="A64" t="s">
        <v>86</v>
      </c>
      <c r="B64">
        <f t="shared" si="3"/>
        <v>100</v>
      </c>
      <c r="C64" s="5">
        <f t="shared" si="1"/>
        <v>1.3750000000000151E-3</v>
      </c>
      <c r="D64">
        <v>3.2317999999999998</v>
      </c>
      <c r="E64" s="1">
        <f t="shared" si="2"/>
        <v>0.45833333333333337</v>
      </c>
      <c r="F64" s="3">
        <v>46166</v>
      </c>
    </row>
    <row r="65" spans="1:6" x14ac:dyDescent="0.3">
      <c r="A65" t="s">
        <v>78</v>
      </c>
      <c r="B65">
        <f t="shared" si="3"/>
        <v>120</v>
      </c>
      <c r="C65" s="5">
        <f t="shared" si="1"/>
        <v>9.7500000000000364E-4</v>
      </c>
      <c r="D65">
        <v>1.337</v>
      </c>
      <c r="E65" s="1">
        <f t="shared" si="2"/>
        <v>0.46250000000000008</v>
      </c>
      <c r="F65" s="3">
        <v>46166</v>
      </c>
    </row>
    <row r="66" spans="1:6" x14ac:dyDescent="0.3">
      <c r="A66" t="s">
        <v>79</v>
      </c>
      <c r="B66">
        <f t="shared" si="3"/>
        <v>120</v>
      </c>
      <c r="C66" s="5">
        <f t="shared" si="1"/>
        <v>3.8500000000000199E-4</v>
      </c>
      <c r="D66">
        <v>1.1374</v>
      </c>
      <c r="E66" s="1">
        <f t="shared" si="2"/>
        <v>0.46319444444444452</v>
      </c>
      <c r="F66" s="3">
        <v>46166</v>
      </c>
    </row>
    <row r="67" spans="1:6" x14ac:dyDescent="0.3">
      <c r="A67" t="s">
        <v>80</v>
      </c>
      <c r="B67">
        <f t="shared" si="3"/>
        <v>120</v>
      </c>
      <c r="C67" s="5">
        <f t="shared" si="1"/>
        <v>1.2500000000000178E-3</v>
      </c>
      <c r="D67">
        <v>2.3363999999999998</v>
      </c>
      <c r="E67" s="1">
        <f t="shared" si="2"/>
        <v>0.46388888888888896</v>
      </c>
      <c r="F67" s="3">
        <v>46166</v>
      </c>
    </row>
    <row r="68" spans="1:6" x14ac:dyDescent="0.3">
      <c r="A68" t="s">
        <v>81</v>
      </c>
      <c r="B68">
        <f t="shared" si="3"/>
        <v>120</v>
      </c>
      <c r="C68" s="5">
        <f t="shared" si="1"/>
        <v>9.7500000000000364E-4</v>
      </c>
      <c r="D68">
        <v>1.8472</v>
      </c>
      <c r="E68" s="1">
        <f t="shared" si="2"/>
        <v>0.46527777777777785</v>
      </c>
      <c r="F68" s="3">
        <v>46166</v>
      </c>
    </row>
    <row r="69" spans="1:6" x14ac:dyDescent="0.3">
      <c r="A69" t="s">
        <v>82</v>
      </c>
      <c r="B69">
        <f t="shared" si="3"/>
        <v>120</v>
      </c>
      <c r="C69" s="5">
        <f t="shared" si="1"/>
        <v>6.0499999999999996E-4</v>
      </c>
      <c r="D69">
        <v>1.2373000000000001</v>
      </c>
      <c r="E69" s="1">
        <f t="shared" si="2"/>
        <v>0.46597222222222229</v>
      </c>
      <c r="F69" s="3">
        <v>46166</v>
      </c>
    </row>
    <row r="70" spans="1:6" x14ac:dyDescent="0.3">
      <c r="A70" t="s">
        <v>83</v>
      </c>
      <c r="B70">
        <f t="shared" si="3"/>
        <v>120</v>
      </c>
      <c r="C70" s="5">
        <f t="shared" si="1"/>
        <v>8.3499999999999688E-4</v>
      </c>
      <c r="D70">
        <v>1.7478</v>
      </c>
      <c r="E70" s="1">
        <f t="shared" si="2"/>
        <v>0.46805555555555561</v>
      </c>
      <c r="F70" s="3">
        <v>46166</v>
      </c>
    </row>
    <row r="71" spans="1:6" x14ac:dyDescent="0.3">
      <c r="A71" t="s">
        <v>84</v>
      </c>
      <c r="B71">
        <f t="shared" si="3"/>
        <v>120</v>
      </c>
      <c r="C71" s="5">
        <f t="shared" si="1"/>
        <v>1.3700000000000045E-3</v>
      </c>
      <c r="D71">
        <v>2.4594999999999998</v>
      </c>
      <c r="E71" s="1">
        <f t="shared" si="2"/>
        <v>0.4694444444444445</v>
      </c>
      <c r="F71" s="3">
        <v>46166</v>
      </c>
    </row>
    <row r="72" spans="1:6" x14ac:dyDescent="0.3">
      <c r="A72" t="s">
        <v>85</v>
      </c>
      <c r="B72">
        <f t="shared" si="3"/>
        <v>120</v>
      </c>
      <c r="C72" s="5">
        <f t="shared" si="1"/>
        <v>9.2499999999999809E-4</v>
      </c>
      <c r="D72">
        <v>2.25</v>
      </c>
      <c r="E72" s="1">
        <f t="shared" si="2"/>
        <v>0.47083333333333338</v>
      </c>
      <c r="F72" s="3">
        <v>46166</v>
      </c>
    </row>
    <row r="73" spans="1:6" x14ac:dyDescent="0.3">
      <c r="A73" t="s">
        <v>86</v>
      </c>
      <c r="B73">
        <f t="shared" si="3"/>
        <v>120</v>
      </c>
      <c r="C73" s="5">
        <f t="shared" si="1"/>
        <v>1.2749999999999817E-3</v>
      </c>
      <c r="D73">
        <v>3.2063000000000001</v>
      </c>
      <c r="E73" s="1">
        <f t="shared" si="2"/>
        <v>0.47222222222222227</v>
      </c>
      <c r="F73" s="3">
        <v>46166</v>
      </c>
    </row>
    <row r="74" spans="1:6" x14ac:dyDescent="0.3">
      <c r="A74" t="s">
        <v>78</v>
      </c>
      <c r="B74">
        <f t="shared" si="3"/>
        <v>140</v>
      </c>
      <c r="C74" s="5">
        <f t="shared" si="1"/>
        <v>8.149999999999991E-4</v>
      </c>
      <c r="D74">
        <v>1.3207</v>
      </c>
      <c r="E74" s="1">
        <f t="shared" si="2"/>
        <v>0.47638888888888897</v>
      </c>
      <c r="F74" s="3">
        <v>46166</v>
      </c>
    </row>
    <row r="75" spans="1:6" x14ac:dyDescent="0.3">
      <c r="A75" t="s">
        <v>79</v>
      </c>
      <c r="B75">
        <f t="shared" si="3"/>
        <v>140</v>
      </c>
      <c r="C75" s="5">
        <f t="shared" si="1"/>
        <v>3.2499999999999749E-4</v>
      </c>
      <c r="D75">
        <v>1.1309</v>
      </c>
      <c r="E75" s="1">
        <f t="shared" si="2"/>
        <v>0.47708333333333341</v>
      </c>
      <c r="F75" s="3">
        <v>46166</v>
      </c>
    </row>
    <row r="76" spans="1:6" x14ac:dyDescent="0.3">
      <c r="A76" t="s">
        <v>80</v>
      </c>
      <c r="B76">
        <f t="shared" si="3"/>
        <v>140</v>
      </c>
      <c r="C76" s="5">
        <f t="shared" si="1"/>
        <v>1.2199999999999989E-3</v>
      </c>
      <c r="D76">
        <v>2.3119999999999998</v>
      </c>
      <c r="E76" s="1">
        <f t="shared" si="2"/>
        <v>0.47777777777777786</v>
      </c>
      <c r="F76" s="3">
        <v>46166</v>
      </c>
    </row>
    <row r="77" spans="1:6" x14ac:dyDescent="0.3">
      <c r="A77" t="s">
        <v>81</v>
      </c>
      <c r="B77">
        <f t="shared" si="3"/>
        <v>140</v>
      </c>
      <c r="C77" s="5">
        <f t="shared" si="1"/>
        <v>7.4499999999999567E-4</v>
      </c>
      <c r="D77">
        <v>1.8323</v>
      </c>
      <c r="E77" s="1">
        <f t="shared" si="2"/>
        <v>0.47916666666666674</v>
      </c>
      <c r="F77" s="3">
        <v>46166</v>
      </c>
    </row>
    <row r="78" spans="1:6" x14ac:dyDescent="0.3">
      <c r="A78" t="s">
        <v>82</v>
      </c>
      <c r="B78">
        <f t="shared" si="3"/>
        <v>140</v>
      </c>
      <c r="C78" s="5">
        <f t="shared" si="1"/>
        <v>6.0499999999999996E-4</v>
      </c>
      <c r="D78">
        <v>1.2252000000000001</v>
      </c>
      <c r="E78" s="1">
        <f t="shared" si="2"/>
        <v>0.47986111111111118</v>
      </c>
      <c r="F78" s="3">
        <v>46166</v>
      </c>
    </row>
    <row r="79" spans="1:6" x14ac:dyDescent="0.3">
      <c r="A79" t="s">
        <v>83</v>
      </c>
      <c r="B79">
        <f t="shared" si="3"/>
        <v>140</v>
      </c>
      <c r="C79" s="5">
        <f t="shared" si="1"/>
        <v>7.0500000000000011E-4</v>
      </c>
      <c r="D79">
        <v>1.7337</v>
      </c>
      <c r="E79" s="1">
        <f t="shared" si="2"/>
        <v>0.48194444444444451</v>
      </c>
      <c r="F79" s="3">
        <v>46166</v>
      </c>
    </row>
    <row r="80" spans="1:6" x14ac:dyDescent="0.3">
      <c r="A80" t="s">
        <v>84</v>
      </c>
      <c r="B80">
        <f t="shared" si="3"/>
        <v>140</v>
      </c>
      <c r="C80" s="5">
        <f t="shared" si="1"/>
        <v>1.29999999999999E-3</v>
      </c>
      <c r="D80">
        <v>2.4335</v>
      </c>
      <c r="E80" s="1">
        <f t="shared" si="2"/>
        <v>0.48333333333333339</v>
      </c>
      <c r="F80" s="3">
        <v>46166</v>
      </c>
    </row>
    <row r="81" spans="1:6" x14ac:dyDescent="0.3">
      <c r="A81" t="s">
        <v>85</v>
      </c>
      <c r="B81">
        <f t="shared" si="3"/>
        <v>140</v>
      </c>
      <c r="C81" s="5">
        <f t="shared" si="1"/>
        <v>8.4500000000000688E-4</v>
      </c>
      <c r="D81">
        <v>2.2330999999999999</v>
      </c>
      <c r="E81" s="1">
        <f t="shared" si="2"/>
        <v>0.48472222222222228</v>
      </c>
      <c r="F81" s="3">
        <v>46166</v>
      </c>
    </row>
    <row r="82" spans="1:6" x14ac:dyDescent="0.3">
      <c r="A82" t="s">
        <v>86</v>
      </c>
      <c r="B82">
        <f t="shared" si="3"/>
        <v>140</v>
      </c>
      <c r="C82" s="5">
        <f t="shared" si="1"/>
        <v>1.2950000000000017E-3</v>
      </c>
      <c r="D82">
        <v>3.1804000000000001</v>
      </c>
      <c r="E82" s="1">
        <f t="shared" si="2"/>
        <v>0.48611111111111116</v>
      </c>
      <c r="F82" s="3">
        <v>46166</v>
      </c>
    </row>
    <row r="83" spans="1:6" x14ac:dyDescent="0.3">
      <c r="A83" t="s">
        <v>78</v>
      </c>
      <c r="B83">
        <f t="shared" si="3"/>
        <v>160</v>
      </c>
      <c r="C83" s="5">
        <f t="shared" si="1"/>
        <v>8.6500000000000465E-4</v>
      </c>
      <c r="D83">
        <v>1.3033999999999999</v>
      </c>
      <c r="E83" s="1">
        <f t="shared" si="2"/>
        <v>0.49027777777777787</v>
      </c>
      <c r="F83" s="3">
        <v>46166</v>
      </c>
    </row>
    <row r="84" spans="1:6" x14ac:dyDescent="0.3">
      <c r="A84" t="s">
        <v>79</v>
      </c>
      <c r="B84">
        <f t="shared" si="3"/>
        <v>160</v>
      </c>
      <c r="C84" s="5">
        <f t="shared" si="1"/>
        <v>3.5500000000000532E-4</v>
      </c>
      <c r="D84">
        <v>1.1237999999999999</v>
      </c>
      <c r="E84" s="1">
        <f t="shared" si="2"/>
        <v>0.49097222222222231</v>
      </c>
      <c r="F84" s="3">
        <v>46166</v>
      </c>
    </row>
    <row r="85" spans="1:6" x14ac:dyDescent="0.3">
      <c r="A85" t="s">
        <v>80</v>
      </c>
      <c r="B85">
        <f t="shared" si="3"/>
        <v>160</v>
      </c>
      <c r="C85" s="5">
        <f t="shared" ref="C85:C148" si="4">((D76-D85))/20</f>
        <v>8.3499999999998571E-4</v>
      </c>
      <c r="D85">
        <v>2.2953000000000001</v>
      </c>
      <c r="E85" s="1">
        <f t="shared" ref="E85:E148" si="5">E76+(20/1440)</f>
        <v>0.49166666666666675</v>
      </c>
      <c r="F85" s="3">
        <v>46166</v>
      </c>
    </row>
    <row r="86" spans="1:6" x14ac:dyDescent="0.3">
      <c r="A86" t="s">
        <v>81</v>
      </c>
      <c r="B86">
        <f t="shared" si="3"/>
        <v>160</v>
      </c>
      <c r="C86" s="5">
        <f t="shared" si="4"/>
        <v>7.500000000000062E-4</v>
      </c>
      <c r="D86">
        <v>1.8172999999999999</v>
      </c>
      <c r="E86" s="1">
        <f t="shared" si="5"/>
        <v>0.49305555555555564</v>
      </c>
      <c r="F86" s="3">
        <v>46166</v>
      </c>
    </row>
    <row r="87" spans="1:6" x14ac:dyDescent="0.3">
      <c r="A87" t="s">
        <v>82</v>
      </c>
      <c r="B87">
        <f t="shared" si="3"/>
        <v>160</v>
      </c>
      <c r="C87" s="5">
        <f t="shared" si="4"/>
        <v>6.4000000000000721E-4</v>
      </c>
      <c r="D87">
        <v>1.2123999999999999</v>
      </c>
      <c r="E87" s="1">
        <f t="shared" si="5"/>
        <v>0.49375000000000008</v>
      </c>
      <c r="F87" s="3">
        <v>46166</v>
      </c>
    </row>
    <row r="88" spans="1:6" x14ac:dyDescent="0.3">
      <c r="A88" t="s">
        <v>83</v>
      </c>
      <c r="B88">
        <f t="shared" si="3"/>
        <v>160</v>
      </c>
      <c r="C88" s="5">
        <f t="shared" si="4"/>
        <v>8.149999999999991E-4</v>
      </c>
      <c r="D88">
        <v>1.7174</v>
      </c>
      <c r="E88" s="1">
        <f t="shared" si="5"/>
        <v>0.4958333333333334</v>
      </c>
      <c r="F88" s="3">
        <v>46166</v>
      </c>
    </row>
    <row r="89" spans="1:6" x14ac:dyDescent="0.3">
      <c r="A89" t="s">
        <v>84</v>
      </c>
      <c r="B89">
        <f t="shared" si="3"/>
        <v>160</v>
      </c>
      <c r="C89" s="5">
        <f t="shared" si="4"/>
        <v>1.2599999999999944E-3</v>
      </c>
      <c r="D89">
        <v>2.4083000000000001</v>
      </c>
      <c r="E89" s="1">
        <f t="shared" si="5"/>
        <v>0.49722222222222229</v>
      </c>
      <c r="F89" s="3">
        <v>46166</v>
      </c>
    </row>
    <row r="90" spans="1:6" x14ac:dyDescent="0.3">
      <c r="A90" t="s">
        <v>85</v>
      </c>
      <c r="B90">
        <f t="shared" si="3"/>
        <v>160</v>
      </c>
      <c r="C90" s="5">
        <f t="shared" si="4"/>
        <v>8.8500000000000243E-4</v>
      </c>
      <c r="D90">
        <v>2.2153999999999998</v>
      </c>
      <c r="E90" s="1">
        <f t="shared" si="5"/>
        <v>0.49861111111111117</v>
      </c>
      <c r="F90" s="3">
        <v>46166</v>
      </c>
    </row>
    <row r="91" spans="1:6" x14ac:dyDescent="0.3">
      <c r="A91" t="s">
        <v>86</v>
      </c>
      <c r="B91">
        <f t="shared" si="3"/>
        <v>160</v>
      </c>
      <c r="C91" s="5">
        <f t="shared" si="4"/>
        <v>1.2550000000000061E-3</v>
      </c>
      <c r="D91">
        <v>3.1553</v>
      </c>
      <c r="E91" s="1">
        <f t="shared" si="5"/>
        <v>0.5</v>
      </c>
      <c r="F91" s="3">
        <v>46166</v>
      </c>
    </row>
    <row r="92" spans="1:6" x14ac:dyDescent="0.3">
      <c r="A92" t="s">
        <v>78</v>
      </c>
      <c r="B92">
        <f t="shared" si="3"/>
        <v>180</v>
      </c>
      <c r="C92" s="5">
        <f t="shared" si="4"/>
        <v>8.3999999999999635E-4</v>
      </c>
      <c r="D92">
        <v>1.2866</v>
      </c>
      <c r="E92" s="1">
        <f t="shared" si="5"/>
        <v>0.50416666666666676</v>
      </c>
      <c r="F92" s="3">
        <v>46166</v>
      </c>
    </row>
    <row r="93" spans="1:6" x14ac:dyDescent="0.3">
      <c r="A93" t="s">
        <v>79</v>
      </c>
      <c r="B93">
        <f t="shared" si="3"/>
        <v>180</v>
      </c>
      <c r="C93" s="5">
        <f t="shared" si="4"/>
        <v>3.2499999999999749E-4</v>
      </c>
      <c r="D93">
        <v>1.1173</v>
      </c>
      <c r="E93" s="1">
        <f t="shared" si="5"/>
        <v>0.5048611111111112</v>
      </c>
      <c r="F93" s="3">
        <v>46166</v>
      </c>
    </row>
    <row r="94" spans="1:6" x14ac:dyDescent="0.3">
      <c r="A94" t="s">
        <v>80</v>
      </c>
      <c r="B94">
        <f t="shared" si="3"/>
        <v>180</v>
      </c>
      <c r="C94" s="5">
        <f t="shared" si="4"/>
        <v>7.8000000000000291E-4</v>
      </c>
      <c r="D94">
        <v>2.2797000000000001</v>
      </c>
      <c r="E94" s="1">
        <f t="shared" si="5"/>
        <v>0.50555555555555565</v>
      </c>
      <c r="F94" s="3">
        <v>46166</v>
      </c>
    </row>
    <row r="95" spans="1:6" x14ac:dyDescent="0.3">
      <c r="A95" t="s">
        <v>81</v>
      </c>
      <c r="B95">
        <f t="shared" si="3"/>
        <v>180</v>
      </c>
      <c r="C95" s="5">
        <f t="shared" si="4"/>
        <v>6.7499999999999223E-4</v>
      </c>
      <c r="D95">
        <v>1.8038000000000001</v>
      </c>
      <c r="E95" s="1">
        <f t="shared" si="5"/>
        <v>0.50694444444444453</v>
      </c>
      <c r="F95" s="3">
        <v>46166</v>
      </c>
    </row>
    <row r="96" spans="1:6" x14ac:dyDescent="0.3">
      <c r="A96" t="s">
        <v>82</v>
      </c>
      <c r="B96">
        <f t="shared" si="3"/>
        <v>180</v>
      </c>
      <c r="C96" s="5">
        <f t="shared" si="4"/>
        <v>5.9000000000000166E-4</v>
      </c>
      <c r="D96">
        <v>1.2005999999999999</v>
      </c>
      <c r="E96" s="1">
        <f t="shared" si="5"/>
        <v>0.50763888888888897</v>
      </c>
      <c r="F96" s="3">
        <v>46166</v>
      </c>
    </row>
    <row r="97" spans="1:6" x14ac:dyDescent="0.3">
      <c r="A97" t="s">
        <v>83</v>
      </c>
      <c r="B97">
        <f t="shared" si="3"/>
        <v>180</v>
      </c>
      <c r="C97" s="5">
        <f t="shared" si="4"/>
        <v>8.2499999999999794E-4</v>
      </c>
      <c r="D97">
        <v>1.7009000000000001</v>
      </c>
      <c r="E97" s="1">
        <f t="shared" si="5"/>
        <v>0.5097222222222223</v>
      </c>
      <c r="F97" s="3">
        <v>46166</v>
      </c>
    </row>
    <row r="98" spans="1:6" x14ac:dyDescent="0.3">
      <c r="A98" t="s">
        <v>84</v>
      </c>
      <c r="B98">
        <f t="shared" si="3"/>
        <v>180</v>
      </c>
      <c r="C98" s="5">
        <f t="shared" si="4"/>
        <v>1.2800000000000144E-3</v>
      </c>
      <c r="D98">
        <v>2.3826999999999998</v>
      </c>
      <c r="E98" s="1">
        <f t="shared" si="5"/>
        <v>0.51111111111111118</v>
      </c>
      <c r="F98" s="3">
        <v>46166</v>
      </c>
    </row>
    <row r="99" spans="1:6" x14ac:dyDescent="0.3">
      <c r="A99" t="s">
        <v>85</v>
      </c>
      <c r="B99">
        <f t="shared" si="3"/>
        <v>180</v>
      </c>
      <c r="C99" s="5">
        <f t="shared" si="4"/>
        <v>8.1499999999998793E-4</v>
      </c>
      <c r="D99">
        <v>2.1991000000000001</v>
      </c>
      <c r="E99" s="1">
        <f t="shared" si="5"/>
        <v>0.51250000000000007</v>
      </c>
      <c r="F99" s="3">
        <v>46166</v>
      </c>
    </row>
    <row r="100" spans="1:6" x14ac:dyDescent="0.3">
      <c r="A100" t="s">
        <v>86</v>
      </c>
      <c r="B100">
        <f t="shared" si="3"/>
        <v>180</v>
      </c>
      <c r="C100" s="5">
        <f t="shared" si="4"/>
        <v>1.2049999999999895E-3</v>
      </c>
      <c r="D100">
        <v>3.1312000000000002</v>
      </c>
      <c r="E100" s="1">
        <f t="shared" si="5"/>
        <v>0.51388888888888884</v>
      </c>
      <c r="F100" s="3">
        <v>46166</v>
      </c>
    </row>
    <row r="101" spans="1:6" x14ac:dyDescent="0.3">
      <c r="A101" t="s">
        <v>78</v>
      </c>
      <c r="B101">
        <f t="shared" si="3"/>
        <v>200</v>
      </c>
      <c r="C101" s="5">
        <f t="shared" si="4"/>
        <v>8.3999999999999635E-4</v>
      </c>
      <c r="D101">
        <v>1.2698</v>
      </c>
      <c r="E101" s="1">
        <f t="shared" si="5"/>
        <v>0.5180555555555556</v>
      </c>
      <c r="F101" s="3">
        <v>46166</v>
      </c>
    </row>
    <row r="102" spans="1:6" x14ac:dyDescent="0.3">
      <c r="A102" t="s">
        <v>79</v>
      </c>
      <c r="B102">
        <f t="shared" si="3"/>
        <v>200</v>
      </c>
      <c r="C102" s="5">
        <f t="shared" si="4"/>
        <v>3.1999999999999807E-4</v>
      </c>
      <c r="D102">
        <v>1.1109</v>
      </c>
      <c r="E102" s="1">
        <f t="shared" si="5"/>
        <v>0.51875000000000004</v>
      </c>
      <c r="F102" s="3">
        <v>46166</v>
      </c>
    </row>
    <row r="103" spans="1:6" x14ac:dyDescent="0.3">
      <c r="A103" t="s">
        <v>80</v>
      </c>
      <c r="B103">
        <f t="shared" si="3"/>
        <v>200</v>
      </c>
      <c r="C103" s="5">
        <f t="shared" si="4"/>
        <v>7.9000000000000186E-4</v>
      </c>
      <c r="D103">
        <v>2.2639</v>
      </c>
      <c r="E103" s="1">
        <f t="shared" si="5"/>
        <v>0.51944444444444449</v>
      </c>
      <c r="F103" s="3">
        <v>46166</v>
      </c>
    </row>
    <row r="104" spans="1:6" x14ac:dyDescent="0.3">
      <c r="A104" t="s">
        <v>81</v>
      </c>
      <c r="B104">
        <f t="shared" si="3"/>
        <v>200</v>
      </c>
      <c r="C104" s="5">
        <f t="shared" si="4"/>
        <v>6.4000000000000721E-4</v>
      </c>
      <c r="D104">
        <v>1.7909999999999999</v>
      </c>
      <c r="E104" s="1">
        <f t="shared" si="5"/>
        <v>0.52083333333333337</v>
      </c>
      <c r="F104" s="3">
        <v>46166</v>
      </c>
    </row>
    <row r="105" spans="1:6" x14ac:dyDescent="0.3">
      <c r="A105" t="s">
        <v>82</v>
      </c>
      <c r="B105">
        <f t="shared" si="3"/>
        <v>200</v>
      </c>
      <c r="C105" s="5">
        <f t="shared" si="4"/>
        <v>6.2999999999999721E-4</v>
      </c>
      <c r="D105">
        <v>1.1879999999999999</v>
      </c>
      <c r="E105" s="1">
        <f t="shared" si="5"/>
        <v>0.52152777777777781</v>
      </c>
      <c r="F105" s="3">
        <v>46166</v>
      </c>
    </row>
    <row r="106" spans="1:6" x14ac:dyDescent="0.3">
      <c r="A106" t="s">
        <v>83</v>
      </c>
      <c r="B106">
        <f t="shared" si="3"/>
        <v>200</v>
      </c>
      <c r="C106" s="5">
        <f t="shared" si="4"/>
        <v>7.4500000000000672E-4</v>
      </c>
      <c r="D106">
        <v>1.6859999999999999</v>
      </c>
      <c r="E106" s="1">
        <f t="shared" si="5"/>
        <v>0.52361111111111114</v>
      </c>
      <c r="F106" s="3">
        <v>46166</v>
      </c>
    </row>
    <row r="107" spans="1:6" x14ac:dyDescent="0.3">
      <c r="A107" t="s">
        <v>84</v>
      </c>
      <c r="B107">
        <f t="shared" si="3"/>
        <v>200</v>
      </c>
      <c r="C107" s="5">
        <f t="shared" si="4"/>
        <v>1.3399999999999857E-3</v>
      </c>
      <c r="D107">
        <v>2.3559000000000001</v>
      </c>
      <c r="E107" s="1">
        <f t="shared" si="5"/>
        <v>0.52500000000000002</v>
      </c>
      <c r="F107" s="3">
        <v>46166</v>
      </c>
    </row>
    <row r="108" spans="1:6" x14ac:dyDescent="0.3">
      <c r="A108" t="s">
        <v>85</v>
      </c>
      <c r="B108">
        <f t="shared" si="3"/>
        <v>200</v>
      </c>
      <c r="C108" s="5">
        <f t="shared" si="4"/>
        <v>7.7499999999999238E-4</v>
      </c>
      <c r="D108">
        <v>2.1836000000000002</v>
      </c>
      <c r="E108" s="1">
        <f t="shared" si="5"/>
        <v>0.52638888888888891</v>
      </c>
      <c r="F108" s="3">
        <v>46166</v>
      </c>
    </row>
    <row r="109" spans="1:6" x14ac:dyDescent="0.3">
      <c r="A109" t="s">
        <v>86</v>
      </c>
      <c r="B109">
        <f t="shared" si="3"/>
        <v>200</v>
      </c>
      <c r="C109" s="5">
        <f t="shared" si="4"/>
        <v>1.2050000000000116E-3</v>
      </c>
      <c r="D109">
        <v>3.1071</v>
      </c>
      <c r="E109" s="1">
        <f t="shared" si="5"/>
        <v>0.52777777777777768</v>
      </c>
      <c r="F109" s="3">
        <v>46166</v>
      </c>
    </row>
    <row r="110" spans="1:6" x14ac:dyDescent="0.3">
      <c r="A110" t="s">
        <v>78</v>
      </c>
      <c r="B110">
        <f t="shared" si="3"/>
        <v>220</v>
      </c>
      <c r="C110" s="5">
        <f t="shared" si="4"/>
        <v>8.6000000000000518E-4</v>
      </c>
      <c r="D110">
        <v>1.2525999999999999</v>
      </c>
      <c r="E110" s="1">
        <f t="shared" si="5"/>
        <v>0.53194444444444444</v>
      </c>
      <c r="F110" s="3">
        <v>46166</v>
      </c>
    </row>
    <row r="111" spans="1:6" x14ac:dyDescent="0.3">
      <c r="A111" t="s">
        <v>79</v>
      </c>
      <c r="B111">
        <f t="shared" si="3"/>
        <v>220</v>
      </c>
      <c r="C111" s="5">
        <f t="shared" si="4"/>
        <v>3.5500000000000532E-4</v>
      </c>
      <c r="D111">
        <v>1.1037999999999999</v>
      </c>
      <c r="E111" s="1">
        <f t="shared" si="5"/>
        <v>0.53263888888888888</v>
      </c>
      <c r="F111" s="3">
        <v>46166</v>
      </c>
    </row>
    <row r="112" spans="1:6" x14ac:dyDescent="0.3">
      <c r="A112" t="s">
        <v>80</v>
      </c>
      <c r="B112">
        <f t="shared" si="3"/>
        <v>220</v>
      </c>
      <c r="C112" s="5">
        <f t="shared" si="4"/>
        <v>8.6500000000000465E-4</v>
      </c>
      <c r="D112">
        <v>2.2465999999999999</v>
      </c>
      <c r="E112" s="1">
        <f t="shared" si="5"/>
        <v>0.53333333333333333</v>
      </c>
      <c r="F112" s="3">
        <v>46166</v>
      </c>
    </row>
    <row r="113" spans="1:6" x14ac:dyDescent="0.3">
      <c r="A113" t="s">
        <v>81</v>
      </c>
      <c r="B113">
        <f t="shared" si="3"/>
        <v>220</v>
      </c>
      <c r="C113" s="5">
        <f t="shared" si="4"/>
        <v>6.649999999999934E-4</v>
      </c>
      <c r="D113">
        <v>1.7777000000000001</v>
      </c>
      <c r="E113" s="1">
        <f t="shared" si="5"/>
        <v>0.53472222222222221</v>
      </c>
      <c r="F113" s="3">
        <v>46166</v>
      </c>
    </row>
    <row r="114" spans="1:6" x14ac:dyDescent="0.3">
      <c r="A114" t="s">
        <v>82</v>
      </c>
      <c r="B114">
        <f t="shared" si="3"/>
        <v>220</v>
      </c>
      <c r="C114" s="5">
        <f t="shared" si="4"/>
        <v>5.8000000000000271E-4</v>
      </c>
      <c r="D114">
        <v>1.1763999999999999</v>
      </c>
      <c r="E114" s="1">
        <f t="shared" si="5"/>
        <v>0.53541666666666665</v>
      </c>
      <c r="F114" s="3">
        <v>46166</v>
      </c>
    </row>
    <row r="115" spans="1:6" x14ac:dyDescent="0.3">
      <c r="A115" t="s">
        <v>83</v>
      </c>
      <c r="B115">
        <f t="shared" si="3"/>
        <v>220</v>
      </c>
      <c r="C115" s="5">
        <f t="shared" si="4"/>
        <v>7.4499999999999567E-4</v>
      </c>
      <c r="D115">
        <v>1.6711</v>
      </c>
      <c r="E115" s="1">
        <f t="shared" si="5"/>
        <v>0.53749999999999998</v>
      </c>
      <c r="F115" s="3">
        <v>46166</v>
      </c>
    </row>
    <row r="116" spans="1:6" x14ac:dyDescent="0.3">
      <c r="A116" t="s">
        <v>84</v>
      </c>
      <c r="B116">
        <f t="shared" si="3"/>
        <v>220</v>
      </c>
      <c r="C116" s="5">
        <f t="shared" si="4"/>
        <v>1.1500000000000065E-3</v>
      </c>
      <c r="D116">
        <v>2.3329</v>
      </c>
      <c r="E116" s="1">
        <f t="shared" si="5"/>
        <v>0.53888888888888886</v>
      </c>
      <c r="F116" s="3">
        <v>46166</v>
      </c>
    </row>
    <row r="117" spans="1:6" x14ac:dyDescent="0.3">
      <c r="A117" t="s">
        <v>85</v>
      </c>
      <c r="B117">
        <f t="shared" si="3"/>
        <v>220</v>
      </c>
      <c r="C117" s="5">
        <f t="shared" si="4"/>
        <v>7.9000000000000186E-4</v>
      </c>
      <c r="D117">
        <v>2.1678000000000002</v>
      </c>
      <c r="E117" s="1">
        <f t="shared" si="5"/>
        <v>0.54027777777777775</v>
      </c>
      <c r="F117" s="3">
        <v>46166</v>
      </c>
    </row>
    <row r="118" spans="1:6" x14ac:dyDescent="0.3">
      <c r="A118" t="s">
        <v>86</v>
      </c>
      <c r="B118">
        <f t="shared" si="3"/>
        <v>220</v>
      </c>
      <c r="C118" s="5">
        <f t="shared" si="4"/>
        <v>1.0750000000000037E-3</v>
      </c>
      <c r="D118">
        <v>3.0855999999999999</v>
      </c>
      <c r="E118" s="1">
        <f t="shared" si="5"/>
        <v>0.54166666666666652</v>
      </c>
      <c r="F118" s="3">
        <v>46166</v>
      </c>
    </row>
    <row r="119" spans="1:6" x14ac:dyDescent="0.3">
      <c r="A119" t="s">
        <v>78</v>
      </c>
      <c r="B119">
        <f t="shared" si="3"/>
        <v>240</v>
      </c>
      <c r="C119" s="5">
        <f t="shared" si="4"/>
        <v>7.1999999999999842E-4</v>
      </c>
      <c r="D119">
        <v>1.2382</v>
      </c>
      <c r="E119" s="1">
        <f t="shared" si="5"/>
        <v>0.54583333333333328</v>
      </c>
      <c r="F119" s="3">
        <v>46166</v>
      </c>
    </row>
    <row r="120" spans="1:6" x14ac:dyDescent="0.3">
      <c r="A120" t="s">
        <v>79</v>
      </c>
      <c r="B120">
        <f t="shared" si="3"/>
        <v>240</v>
      </c>
      <c r="C120" s="5">
        <f t="shared" si="4"/>
        <v>3.0499999999999972E-4</v>
      </c>
      <c r="D120">
        <v>1.0976999999999999</v>
      </c>
      <c r="E120" s="1">
        <f t="shared" si="5"/>
        <v>0.54652777777777772</v>
      </c>
      <c r="F120" s="3">
        <v>46166</v>
      </c>
    </row>
    <row r="121" spans="1:6" x14ac:dyDescent="0.3">
      <c r="A121" t="s">
        <v>80</v>
      </c>
      <c r="B121">
        <f t="shared" ref="B121:B136" si="6">B112+20</f>
        <v>240</v>
      </c>
      <c r="C121" s="5">
        <f t="shared" si="4"/>
        <v>6.8999999999999064E-4</v>
      </c>
      <c r="D121">
        <v>2.2328000000000001</v>
      </c>
      <c r="E121" s="1">
        <f t="shared" si="5"/>
        <v>0.54722222222222217</v>
      </c>
      <c r="F121" s="3">
        <v>46166</v>
      </c>
    </row>
    <row r="122" spans="1:6" x14ac:dyDescent="0.3">
      <c r="A122" t="s">
        <v>81</v>
      </c>
      <c r="B122">
        <f t="shared" si="6"/>
        <v>240</v>
      </c>
      <c r="C122" s="5">
        <f t="shared" si="4"/>
        <v>5.7500000000000324E-4</v>
      </c>
      <c r="D122">
        <v>1.7662</v>
      </c>
      <c r="E122" s="1">
        <f t="shared" si="5"/>
        <v>0.54861111111111105</v>
      </c>
      <c r="F122" s="3">
        <v>46166</v>
      </c>
    </row>
    <row r="123" spans="1:6" x14ac:dyDescent="0.3">
      <c r="A123" t="s">
        <v>82</v>
      </c>
      <c r="B123">
        <f t="shared" si="6"/>
        <v>240</v>
      </c>
      <c r="C123" s="5">
        <f t="shared" si="4"/>
        <v>5.4999999999999494E-4</v>
      </c>
      <c r="D123">
        <v>1.1654</v>
      </c>
      <c r="E123" s="1">
        <f t="shared" si="5"/>
        <v>0.54930555555555549</v>
      </c>
      <c r="F123" s="3">
        <v>46166</v>
      </c>
    </row>
    <row r="124" spans="1:6" x14ac:dyDescent="0.3">
      <c r="A124" t="s">
        <v>83</v>
      </c>
      <c r="B124">
        <f t="shared" si="6"/>
        <v>240</v>
      </c>
      <c r="C124" s="5">
        <f t="shared" si="4"/>
        <v>6.4500000000000668E-4</v>
      </c>
      <c r="D124">
        <v>1.6581999999999999</v>
      </c>
      <c r="E124" s="1">
        <f t="shared" si="5"/>
        <v>0.55138888888888882</v>
      </c>
      <c r="F124" s="3">
        <v>46166</v>
      </c>
    </row>
    <row r="125" spans="1:6" x14ac:dyDescent="0.3">
      <c r="A125" t="s">
        <v>84</v>
      </c>
      <c r="B125">
        <f t="shared" si="6"/>
        <v>240</v>
      </c>
      <c r="C125" s="5">
        <f t="shared" si="4"/>
        <v>1.1949999999999906E-3</v>
      </c>
      <c r="D125">
        <v>2.3090000000000002</v>
      </c>
      <c r="E125" s="1">
        <f t="shared" si="5"/>
        <v>0.5527777777777777</v>
      </c>
      <c r="F125" s="3">
        <v>46166</v>
      </c>
    </row>
    <row r="126" spans="1:6" x14ac:dyDescent="0.3">
      <c r="A126" t="s">
        <v>85</v>
      </c>
      <c r="B126">
        <f t="shared" si="6"/>
        <v>240</v>
      </c>
      <c r="C126" s="5">
        <f t="shared" si="4"/>
        <v>6.250000000000089E-4</v>
      </c>
      <c r="D126">
        <v>2.1553</v>
      </c>
      <c r="E126" s="1">
        <f t="shared" si="5"/>
        <v>0.55416666666666659</v>
      </c>
      <c r="F126" s="3">
        <v>46166</v>
      </c>
    </row>
    <row r="127" spans="1:6" x14ac:dyDescent="0.3">
      <c r="A127" t="s">
        <v>86</v>
      </c>
      <c r="B127">
        <f t="shared" si="6"/>
        <v>240</v>
      </c>
      <c r="C127" s="5">
        <f t="shared" si="4"/>
        <v>1.1199999999999878E-3</v>
      </c>
      <c r="D127">
        <v>3.0632000000000001</v>
      </c>
      <c r="E127" s="1">
        <f t="shared" si="5"/>
        <v>0.55555555555555536</v>
      </c>
      <c r="F127" s="3">
        <v>46166</v>
      </c>
    </row>
    <row r="128" spans="1:6" x14ac:dyDescent="0.3">
      <c r="A128" t="s">
        <v>78</v>
      </c>
      <c r="B128">
        <f t="shared" si="6"/>
        <v>260</v>
      </c>
      <c r="C128" s="5">
        <f t="shared" si="4"/>
        <v>6.8500000000000223E-4</v>
      </c>
      <c r="D128">
        <v>1.2244999999999999</v>
      </c>
      <c r="E128" s="1">
        <f t="shared" si="5"/>
        <v>0.55972222222222212</v>
      </c>
      <c r="F128" s="3">
        <v>46166</v>
      </c>
    </row>
    <row r="129" spans="1:6" x14ac:dyDescent="0.3">
      <c r="A129" t="s">
        <v>79</v>
      </c>
      <c r="B129">
        <f t="shared" si="6"/>
        <v>260</v>
      </c>
      <c r="C129" s="5">
        <f t="shared" si="4"/>
        <v>3.2499999999999749E-4</v>
      </c>
      <c r="D129">
        <v>1.0911999999999999</v>
      </c>
      <c r="E129" s="1">
        <f t="shared" si="5"/>
        <v>0.56041666666666656</v>
      </c>
      <c r="F129" s="3">
        <v>46166</v>
      </c>
    </row>
    <row r="130" spans="1:6" x14ac:dyDescent="0.3">
      <c r="A130" t="s">
        <v>80</v>
      </c>
      <c r="B130">
        <f t="shared" si="6"/>
        <v>260</v>
      </c>
      <c r="C130" s="5">
        <f t="shared" si="4"/>
        <v>6.8500000000000223E-4</v>
      </c>
      <c r="D130">
        <v>2.2191000000000001</v>
      </c>
      <c r="E130" s="1">
        <f t="shared" si="5"/>
        <v>0.56111111111111101</v>
      </c>
      <c r="F130" s="3">
        <v>46166</v>
      </c>
    </row>
    <row r="131" spans="1:6" x14ac:dyDescent="0.3">
      <c r="A131" t="s">
        <v>81</v>
      </c>
      <c r="B131">
        <f t="shared" si="6"/>
        <v>260</v>
      </c>
      <c r="C131" s="5">
        <f t="shared" si="4"/>
        <v>5.39999999999996E-4</v>
      </c>
      <c r="D131">
        <v>1.7554000000000001</v>
      </c>
      <c r="E131" s="1">
        <f t="shared" si="5"/>
        <v>0.56249999999999989</v>
      </c>
      <c r="F131" s="3">
        <v>46166</v>
      </c>
    </row>
    <row r="132" spans="1:6" x14ac:dyDescent="0.3">
      <c r="A132" t="s">
        <v>82</v>
      </c>
      <c r="B132">
        <f t="shared" si="6"/>
        <v>260</v>
      </c>
      <c r="C132" s="5">
        <f t="shared" si="4"/>
        <v>5.1999999999999822E-4</v>
      </c>
      <c r="D132">
        <v>1.155</v>
      </c>
      <c r="E132" s="1">
        <f t="shared" si="5"/>
        <v>0.56319444444444433</v>
      </c>
      <c r="F132" s="3">
        <v>46166</v>
      </c>
    </row>
    <row r="133" spans="1:6" x14ac:dyDescent="0.3">
      <c r="A133" t="s">
        <v>83</v>
      </c>
      <c r="B133">
        <f t="shared" si="6"/>
        <v>260</v>
      </c>
      <c r="C133" s="5">
        <f t="shared" si="4"/>
        <v>6.6999999999999287E-4</v>
      </c>
      <c r="D133">
        <v>1.6448</v>
      </c>
      <c r="E133" s="1">
        <f t="shared" si="5"/>
        <v>0.56527777777777766</v>
      </c>
      <c r="F133" s="3">
        <v>46166</v>
      </c>
    </row>
    <row r="134" spans="1:6" x14ac:dyDescent="0.3">
      <c r="A134" t="s">
        <v>84</v>
      </c>
      <c r="B134">
        <f t="shared" si="6"/>
        <v>260</v>
      </c>
      <c r="C134" s="5">
        <f t="shared" si="4"/>
        <v>1.0800000000000143E-3</v>
      </c>
      <c r="D134">
        <v>2.2873999999999999</v>
      </c>
      <c r="E134" s="1">
        <f t="shared" si="5"/>
        <v>0.56666666666666654</v>
      </c>
      <c r="F134" s="3">
        <v>46166</v>
      </c>
    </row>
    <row r="135" spans="1:6" x14ac:dyDescent="0.3">
      <c r="A135" t="s">
        <v>85</v>
      </c>
      <c r="B135">
        <f t="shared" si="6"/>
        <v>260</v>
      </c>
      <c r="C135" s="5">
        <f t="shared" si="4"/>
        <v>6.250000000000089E-4</v>
      </c>
      <c r="D135">
        <v>2.1427999999999998</v>
      </c>
      <c r="E135" s="1">
        <f t="shared" si="5"/>
        <v>0.56805555555555542</v>
      </c>
      <c r="F135" s="3">
        <v>46166</v>
      </c>
    </row>
    <row r="136" spans="1:6" x14ac:dyDescent="0.3">
      <c r="A136" t="s">
        <v>86</v>
      </c>
      <c r="B136">
        <f t="shared" si="6"/>
        <v>260</v>
      </c>
      <c r="C136" s="5">
        <f t="shared" si="4"/>
        <v>1.0199999999999988E-3</v>
      </c>
      <c r="D136">
        <v>3.0428000000000002</v>
      </c>
      <c r="E136" s="1">
        <f t="shared" si="5"/>
        <v>0.5694444444444442</v>
      </c>
      <c r="F136" s="3">
        <v>46166</v>
      </c>
    </row>
    <row r="137" spans="1:6" x14ac:dyDescent="0.3">
      <c r="C137" s="5">
        <f t="shared" si="4"/>
        <v>6.1224999999999995E-2</v>
      </c>
      <c r="E137" s="1">
        <f t="shared" si="5"/>
        <v>0.57361111111111096</v>
      </c>
      <c r="F137" s="3">
        <v>46166</v>
      </c>
    </row>
    <row r="138" spans="1:6" x14ac:dyDescent="0.3">
      <c r="C138" s="5">
        <f t="shared" si="4"/>
        <v>5.4559999999999997E-2</v>
      </c>
      <c r="E138" s="1">
        <f t="shared" si="5"/>
        <v>0.5743055555555554</v>
      </c>
      <c r="F138" s="3">
        <v>46166</v>
      </c>
    </row>
    <row r="139" spans="1:6" x14ac:dyDescent="0.3">
      <c r="C139" s="5">
        <f t="shared" si="4"/>
        <v>0.110955</v>
      </c>
      <c r="E139" s="1">
        <f t="shared" si="5"/>
        <v>0.57499999999999984</v>
      </c>
      <c r="F139" s="3">
        <v>46166</v>
      </c>
    </row>
    <row r="140" spans="1:6" x14ac:dyDescent="0.3">
      <c r="C140" s="5">
        <f t="shared" si="4"/>
        <v>8.7770000000000001E-2</v>
      </c>
      <c r="E140" s="1">
        <f t="shared" si="5"/>
        <v>0.57638888888888873</v>
      </c>
      <c r="F140" s="3">
        <v>46166</v>
      </c>
    </row>
    <row r="141" spans="1:6" x14ac:dyDescent="0.3">
      <c r="C141" s="5">
        <f t="shared" si="4"/>
        <v>5.7750000000000003E-2</v>
      </c>
      <c r="E141" s="1">
        <f t="shared" si="5"/>
        <v>0.57708333333333317</v>
      </c>
      <c r="F141" s="3">
        <v>46166</v>
      </c>
    </row>
    <row r="142" spans="1:6" x14ac:dyDescent="0.3">
      <c r="C142" s="5">
        <f t="shared" si="4"/>
        <v>8.2240000000000008E-2</v>
      </c>
      <c r="E142" s="1">
        <f t="shared" si="5"/>
        <v>0.5791666666666665</v>
      </c>
      <c r="F142" s="3">
        <v>46166</v>
      </c>
    </row>
    <row r="143" spans="1:6" x14ac:dyDescent="0.3">
      <c r="C143" s="5">
        <f t="shared" si="4"/>
        <v>0.11437</v>
      </c>
      <c r="E143" s="1">
        <f t="shared" si="5"/>
        <v>0.58055555555555538</v>
      </c>
      <c r="F143" s="3">
        <v>46166</v>
      </c>
    </row>
    <row r="144" spans="1:6" x14ac:dyDescent="0.3">
      <c r="C144" s="5">
        <f t="shared" si="4"/>
        <v>0.10713999999999999</v>
      </c>
      <c r="E144" s="1">
        <f t="shared" si="5"/>
        <v>0.58194444444444426</v>
      </c>
      <c r="F144" s="3">
        <v>46166</v>
      </c>
    </row>
    <row r="145" spans="3:6" x14ac:dyDescent="0.3">
      <c r="C145" s="5">
        <f t="shared" si="4"/>
        <v>0.15214</v>
      </c>
      <c r="E145" s="1">
        <f t="shared" si="5"/>
        <v>0.58333333333333304</v>
      </c>
      <c r="F145" s="3">
        <v>46166</v>
      </c>
    </row>
    <row r="146" spans="3:6" x14ac:dyDescent="0.3">
      <c r="C146" s="5">
        <f t="shared" si="4"/>
        <v>0</v>
      </c>
      <c r="E146" s="1">
        <f t="shared" si="5"/>
        <v>0.5874999999999998</v>
      </c>
      <c r="F146" s="3">
        <v>46166</v>
      </c>
    </row>
    <row r="147" spans="3:6" x14ac:dyDescent="0.3">
      <c r="C147" s="5">
        <f t="shared" si="4"/>
        <v>0</v>
      </c>
      <c r="E147" s="1">
        <f t="shared" si="5"/>
        <v>0.58819444444444424</v>
      </c>
      <c r="F147" s="3">
        <v>46166</v>
      </c>
    </row>
    <row r="148" spans="3:6" x14ac:dyDescent="0.3">
      <c r="C148" s="5">
        <f t="shared" si="4"/>
        <v>0</v>
      </c>
      <c r="E148" s="1">
        <f t="shared" si="5"/>
        <v>0.58888888888888868</v>
      </c>
      <c r="F148" s="3">
        <v>46166</v>
      </c>
    </row>
    <row r="149" spans="3:6" x14ac:dyDescent="0.3">
      <c r="C149" s="5">
        <f t="shared" ref="C149:C168" si="7">((D140-D149))/20</f>
        <v>0</v>
      </c>
      <c r="E149" s="1">
        <f t="shared" ref="E149:E168" si="8">E140+(20/1440)</f>
        <v>0.59027777777777757</v>
      </c>
      <c r="F149" s="3">
        <v>46166</v>
      </c>
    </row>
    <row r="150" spans="3:6" x14ac:dyDescent="0.3">
      <c r="C150" s="5">
        <f t="shared" si="7"/>
        <v>0</v>
      </c>
      <c r="E150" s="1">
        <f t="shared" si="8"/>
        <v>0.59097222222222201</v>
      </c>
      <c r="F150" s="3">
        <v>46166</v>
      </c>
    </row>
    <row r="151" spans="3:6" x14ac:dyDescent="0.3">
      <c r="C151" s="5">
        <f t="shared" si="7"/>
        <v>0</v>
      </c>
      <c r="E151" s="1">
        <f t="shared" si="8"/>
        <v>0.59305555555555534</v>
      </c>
      <c r="F151" s="3">
        <v>46166</v>
      </c>
    </row>
    <row r="152" spans="3:6" x14ac:dyDescent="0.3">
      <c r="C152" s="5">
        <f t="shared" si="7"/>
        <v>0</v>
      </c>
      <c r="E152" s="1">
        <f t="shared" si="8"/>
        <v>0.59444444444444422</v>
      </c>
      <c r="F152" s="3">
        <v>46166</v>
      </c>
    </row>
    <row r="153" spans="3:6" x14ac:dyDescent="0.3">
      <c r="C153" s="5">
        <f t="shared" si="7"/>
        <v>0</v>
      </c>
      <c r="E153" s="1">
        <f t="shared" si="8"/>
        <v>0.5958333333333331</v>
      </c>
      <c r="F153" s="3">
        <v>46166</v>
      </c>
    </row>
    <row r="154" spans="3:6" x14ac:dyDescent="0.3">
      <c r="C154" s="5">
        <f t="shared" si="7"/>
        <v>0</v>
      </c>
      <c r="E154" s="1">
        <f t="shared" si="8"/>
        <v>0.59722222222222188</v>
      </c>
      <c r="F154" s="3">
        <v>46166</v>
      </c>
    </row>
    <row r="155" spans="3:6" x14ac:dyDescent="0.3">
      <c r="C155" s="5">
        <f t="shared" si="7"/>
        <v>0</v>
      </c>
      <c r="E155" s="1">
        <f t="shared" si="8"/>
        <v>0.60138888888888864</v>
      </c>
      <c r="F155" s="3">
        <v>46166</v>
      </c>
    </row>
    <row r="156" spans="3:6" x14ac:dyDescent="0.3">
      <c r="C156" s="5">
        <f t="shared" si="7"/>
        <v>0</v>
      </c>
      <c r="E156" s="1">
        <f t="shared" si="8"/>
        <v>0.60208333333333308</v>
      </c>
      <c r="F156" s="3">
        <v>46166</v>
      </c>
    </row>
    <row r="157" spans="3:6" x14ac:dyDescent="0.3">
      <c r="C157" s="5">
        <f t="shared" si="7"/>
        <v>0</v>
      </c>
      <c r="E157" s="1">
        <f t="shared" si="8"/>
        <v>0.60277777777777752</v>
      </c>
      <c r="F157" s="3">
        <v>46166</v>
      </c>
    </row>
    <row r="158" spans="3:6" x14ac:dyDescent="0.3">
      <c r="C158" s="5">
        <f t="shared" si="7"/>
        <v>0</v>
      </c>
      <c r="E158" s="1">
        <f t="shared" si="8"/>
        <v>0.60416666666666641</v>
      </c>
      <c r="F158" s="3">
        <v>46166</v>
      </c>
    </row>
    <row r="159" spans="3:6" x14ac:dyDescent="0.3">
      <c r="C159" s="5">
        <f t="shared" si="7"/>
        <v>0</v>
      </c>
      <c r="E159" s="1">
        <f t="shared" si="8"/>
        <v>0.60486111111111085</v>
      </c>
      <c r="F159" s="3">
        <v>46166</v>
      </c>
    </row>
    <row r="160" spans="3:6" x14ac:dyDescent="0.3">
      <c r="C160" s="5">
        <f t="shared" si="7"/>
        <v>0</v>
      </c>
      <c r="E160" s="1">
        <f t="shared" si="8"/>
        <v>0.60694444444444418</v>
      </c>
      <c r="F160" s="3">
        <v>46166</v>
      </c>
    </row>
    <row r="161" spans="3:6" x14ac:dyDescent="0.3">
      <c r="C161" s="5">
        <f t="shared" si="7"/>
        <v>0</v>
      </c>
      <c r="E161" s="1">
        <f t="shared" si="8"/>
        <v>0.60833333333333306</v>
      </c>
      <c r="F161" s="3">
        <v>46166</v>
      </c>
    </row>
    <row r="162" spans="3:6" x14ac:dyDescent="0.3">
      <c r="C162" s="5">
        <f t="shared" si="7"/>
        <v>0</v>
      </c>
      <c r="E162" s="1">
        <f t="shared" si="8"/>
        <v>0.60972222222222194</v>
      </c>
      <c r="F162" s="3">
        <v>46166</v>
      </c>
    </row>
    <row r="163" spans="3:6" x14ac:dyDescent="0.3">
      <c r="C163" s="5">
        <f t="shared" si="7"/>
        <v>0</v>
      </c>
      <c r="E163" s="1">
        <f t="shared" si="8"/>
        <v>0.61111111111111072</v>
      </c>
      <c r="F163" s="3">
        <v>46166</v>
      </c>
    </row>
    <row r="164" spans="3:6" x14ac:dyDescent="0.3">
      <c r="C164" s="5">
        <f t="shared" si="7"/>
        <v>0</v>
      </c>
      <c r="E164" s="1">
        <f t="shared" si="8"/>
        <v>0.61527777777777748</v>
      </c>
      <c r="F164" s="3">
        <v>46166</v>
      </c>
    </row>
    <row r="165" spans="3:6" x14ac:dyDescent="0.3">
      <c r="C165" s="5">
        <f t="shared" si="7"/>
        <v>0</v>
      </c>
      <c r="E165" s="1">
        <f t="shared" si="8"/>
        <v>0.61597222222222192</v>
      </c>
      <c r="F165" s="3">
        <v>46166</v>
      </c>
    </row>
    <row r="166" spans="3:6" x14ac:dyDescent="0.3">
      <c r="C166" s="5">
        <f t="shared" si="7"/>
        <v>0</v>
      </c>
      <c r="E166" s="1">
        <f t="shared" si="8"/>
        <v>0.61666666666666636</v>
      </c>
      <c r="F166" s="3">
        <v>46166</v>
      </c>
    </row>
    <row r="167" spans="3:6" x14ac:dyDescent="0.3">
      <c r="C167" s="5">
        <f t="shared" si="7"/>
        <v>0</v>
      </c>
      <c r="E167" s="1">
        <f t="shared" si="8"/>
        <v>0.61805555555555525</v>
      </c>
      <c r="F167" s="3">
        <v>46166</v>
      </c>
    </row>
    <row r="168" spans="3:6" x14ac:dyDescent="0.3">
      <c r="C168" s="5">
        <f t="shared" si="7"/>
        <v>0</v>
      </c>
      <c r="E168" s="1">
        <f t="shared" si="8"/>
        <v>0.61874999999999969</v>
      </c>
      <c r="F168" s="3">
        <v>46166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EC396-2A89-441B-A6FB-DFA074DFAB8C}">
  <dimension ref="A1:F138"/>
  <sheetViews>
    <sheetView topLeftCell="A113" workbookViewId="0">
      <selection activeCell="A11" sqref="A11:F136"/>
    </sheetView>
  </sheetViews>
  <sheetFormatPr baseColWidth="10" defaultRowHeight="14.4" x14ac:dyDescent="0.3"/>
  <sheetData>
    <row r="1" spans="1:6" x14ac:dyDescent="0.3">
      <c r="A1" t="s">
        <v>0</v>
      </c>
      <c r="B1" t="s">
        <v>119</v>
      </c>
      <c r="C1" t="s">
        <v>22</v>
      </c>
      <c r="E1" t="s">
        <v>8</v>
      </c>
      <c r="F1" t="s">
        <v>20</v>
      </c>
    </row>
    <row r="2" spans="1:6" x14ac:dyDescent="0.3">
      <c r="A2" t="s">
        <v>93</v>
      </c>
      <c r="C2" t="s">
        <v>120</v>
      </c>
      <c r="D2">
        <v>2.8469000000000002</v>
      </c>
      <c r="E2" s="1">
        <v>0.35555555555555557</v>
      </c>
      <c r="F2" s="3">
        <v>46168</v>
      </c>
    </row>
    <row r="3" spans="1:6" x14ac:dyDescent="0.3">
      <c r="A3" t="s">
        <v>94</v>
      </c>
      <c r="D3">
        <v>1.8521000000000001</v>
      </c>
      <c r="E3" s="1">
        <v>0.35625000000000001</v>
      </c>
      <c r="F3" s="3">
        <v>46168</v>
      </c>
    </row>
    <row r="4" spans="1:6" x14ac:dyDescent="0.3">
      <c r="A4" t="s">
        <v>95</v>
      </c>
      <c r="D4">
        <v>2.9914999999999998</v>
      </c>
      <c r="E4" s="1">
        <v>0.3576388888888889</v>
      </c>
      <c r="F4" s="3">
        <v>46168</v>
      </c>
    </row>
    <row r="5" spans="1:6" x14ac:dyDescent="0.3">
      <c r="A5" t="s">
        <v>87</v>
      </c>
      <c r="D5">
        <v>1.6215999999999999</v>
      </c>
      <c r="E5" s="1">
        <v>0.35833333333333334</v>
      </c>
      <c r="F5" s="3">
        <v>46168</v>
      </c>
    </row>
    <row r="6" spans="1:6" x14ac:dyDescent="0.3">
      <c r="A6" t="s">
        <v>88</v>
      </c>
      <c r="D6">
        <v>1.4235</v>
      </c>
      <c r="E6" s="1">
        <v>0.35902777777777778</v>
      </c>
      <c r="F6" s="3">
        <v>46168</v>
      </c>
    </row>
    <row r="7" spans="1:6" x14ac:dyDescent="0.3">
      <c r="A7" t="s">
        <v>89</v>
      </c>
      <c r="D7">
        <v>0.95689999999999997</v>
      </c>
      <c r="E7" s="1">
        <v>0.35972222222222222</v>
      </c>
      <c r="F7" s="3">
        <v>46168</v>
      </c>
    </row>
    <row r="8" spans="1:6" x14ac:dyDescent="0.3">
      <c r="A8" t="s">
        <v>90</v>
      </c>
      <c r="D8">
        <v>2.9828999999999999</v>
      </c>
      <c r="E8" s="1">
        <v>0.36041666666666666</v>
      </c>
      <c r="F8" s="3">
        <v>46168</v>
      </c>
    </row>
    <row r="9" spans="1:6" x14ac:dyDescent="0.3">
      <c r="A9" t="s">
        <v>91</v>
      </c>
      <c r="D9">
        <v>1.6004</v>
      </c>
      <c r="E9" s="1">
        <v>0.3611111111111111</v>
      </c>
      <c r="F9" s="3">
        <v>46168</v>
      </c>
    </row>
    <row r="10" spans="1:6" x14ac:dyDescent="0.3">
      <c r="A10" t="s">
        <v>92</v>
      </c>
      <c r="D10">
        <v>2.0406</v>
      </c>
      <c r="E10" s="1">
        <v>0.36249999999999999</v>
      </c>
      <c r="F10" s="3">
        <v>46168</v>
      </c>
    </row>
    <row r="11" spans="1:6" x14ac:dyDescent="0.3">
      <c r="A11" t="s">
        <v>93</v>
      </c>
      <c r="B11">
        <v>0</v>
      </c>
      <c r="C11">
        <v>0</v>
      </c>
      <c r="D11">
        <v>2.8340999999999998</v>
      </c>
      <c r="E11" s="1">
        <v>0.36319444444444443</v>
      </c>
      <c r="F11" s="3">
        <v>46168</v>
      </c>
    </row>
    <row r="12" spans="1:6" x14ac:dyDescent="0.3">
      <c r="A12" t="s">
        <v>94</v>
      </c>
      <c r="B12">
        <v>0</v>
      </c>
      <c r="C12">
        <v>0</v>
      </c>
      <c r="D12">
        <v>1.8411999999999999</v>
      </c>
      <c r="E12" s="1">
        <f>E3+(11/1440)</f>
        <v>0.36388888888888887</v>
      </c>
      <c r="F12" s="3">
        <v>46168</v>
      </c>
    </row>
    <row r="13" spans="1:6" x14ac:dyDescent="0.3">
      <c r="A13" t="s">
        <v>95</v>
      </c>
      <c r="B13">
        <v>0</v>
      </c>
      <c r="C13">
        <v>0</v>
      </c>
      <c r="D13">
        <v>2.9853000000000001</v>
      </c>
      <c r="E13" s="1">
        <f t="shared" ref="E13:E19" si="0">E4+(11/1440)</f>
        <v>0.36527777777777776</v>
      </c>
      <c r="F13" s="3">
        <v>46168</v>
      </c>
    </row>
    <row r="14" spans="1:6" x14ac:dyDescent="0.3">
      <c r="A14" t="s">
        <v>87</v>
      </c>
      <c r="B14">
        <v>0</v>
      </c>
      <c r="C14">
        <v>0</v>
      </c>
      <c r="D14">
        <v>1.6089</v>
      </c>
      <c r="E14" s="1">
        <f t="shared" si="0"/>
        <v>0.3659722222222222</v>
      </c>
      <c r="F14" s="3">
        <v>46168</v>
      </c>
    </row>
    <row r="15" spans="1:6" x14ac:dyDescent="0.3">
      <c r="A15" t="s">
        <v>88</v>
      </c>
      <c r="B15">
        <v>0</v>
      </c>
      <c r="C15">
        <v>0</v>
      </c>
      <c r="D15">
        <v>1.4167000000000001</v>
      </c>
      <c r="E15" s="1">
        <f t="shared" si="0"/>
        <v>0.36666666666666664</v>
      </c>
      <c r="F15" s="3">
        <v>46168</v>
      </c>
    </row>
    <row r="16" spans="1:6" x14ac:dyDescent="0.3">
      <c r="A16" t="s">
        <v>89</v>
      </c>
      <c r="B16">
        <v>0</v>
      </c>
      <c r="C16">
        <v>0</v>
      </c>
      <c r="D16">
        <v>0.95720000000000005</v>
      </c>
      <c r="E16" s="1">
        <f t="shared" si="0"/>
        <v>0.36736111111111108</v>
      </c>
      <c r="F16" s="3">
        <v>46168</v>
      </c>
    </row>
    <row r="17" spans="1:6" x14ac:dyDescent="0.3">
      <c r="A17" t="s">
        <v>90</v>
      </c>
      <c r="B17">
        <v>0</v>
      </c>
      <c r="C17">
        <v>0</v>
      </c>
      <c r="D17">
        <v>2.9689999999999999</v>
      </c>
      <c r="E17" s="1">
        <f t="shared" si="0"/>
        <v>0.36805555555555552</v>
      </c>
      <c r="F17" s="3">
        <v>46168</v>
      </c>
    </row>
    <row r="18" spans="1:6" x14ac:dyDescent="0.3">
      <c r="A18" t="s">
        <v>91</v>
      </c>
      <c r="B18">
        <v>0</v>
      </c>
      <c r="C18">
        <v>0</v>
      </c>
      <c r="D18">
        <v>1.5911</v>
      </c>
      <c r="E18" s="1">
        <f t="shared" si="0"/>
        <v>0.36874999999999997</v>
      </c>
      <c r="F18" s="3">
        <v>46168</v>
      </c>
    </row>
    <row r="19" spans="1:6" x14ac:dyDescent="0.3">
      <c r="A19" t="s">
        <v>92</v>
      </c>
      <c r="B19">
        <v>0</v>
      </c>
      <c r="C19">
        <v>0</v>
      </c>
      <c r="D19">
        <v>2.0272000000000001</v>
      </c>
      <c r="E19" s="1">
        <f t="shared" si="0"/>
        <v>0.37013888888888885</v>
      </c>
      <c r="F19" s="3">
        <v>46168</v>
      </c>
    </row>
    <row r="20" spans="1:6" x14ac:dyDescent="0.3">
      <c r="A20" t="s">
        <v>93</v>
      </c>
      <c r="B20">
        <f>B11+20</f>
        <v>20</v>
      </c>
      <c r="C20">
        <f>(D11-D20)/20</f>
        <v>1.3349999999999972E-3</v>
      </c>
      <c r="D20">
        <v>2.8073999999999999</v>
      </c>
      <c r="E20" s="1">
        <f>E11+(20/1440)</f>
        <v>0.37708333333333333</v>
      </c>
      <c r="F20" s="3">
        <v>46168</v>
      </c>
    </row>
    <row r="21" spans="1:6" x14ac:dyDescent="0.3">
      <c r="A21" t="s">
        <v>94</v>
      </c>
      <c r="B21">
        <f t="shared" ref="B21:B84" si="1">B12+20</f>
        <v>20</v>
      </c>
      <c r="C21">
        <f t="shared" ref="C21:C84" si="2">(D12-D21)/20</f>
        <v>8.4999999999999518E-4</v>
      </c>
      <c r="D21">
        <v>1.8242</v>
      </c>
      <c r="E21" s="1">
        <f t="shared" ref="E21:E84" si="3">E12+(20/1440)</f>
        <v>0.37777777777777777</v>
      </c>
      <c r="F21" s="3">
        <v>46168</v>
      </c>
    </row>
    <row r="22" spans="1:6" x14ac:dyDescent="0.3">
      <c r="A22" t="s">
        <v>95</v>
      </c>
      <c r="B22">
        <f t="shared" si="1"/>
        <v>20</v>
      </c>
      <c r="C22">
        <f t="shared" si="2"/>
        <v>1.1349999999999971E-3</v>
      </c>
      <c r="D22">
        <v>2.9626000000000001</v>
      </c>
      <c r="E22" s="1">
        <f t="shared" si="3"/>
        <v>0.37916666666666665</v>
      </c>
      <c r="F22" s="3">
        <v>46168</v>
      </c>
    </row>
    <row r="23" spans="1:6" x14ac:dyDescent="0.3">
      <c r="A23" t="s">
        <v>87</v>
      </c>
      <c r="B23">
        <f t="shared" si="1"/>
        <v>20</v>
      </c>
      <c r="C23">
        <f t="shared" si="2"/>
        <v>1.0650000000000047E-3</v>
      </c>
      <c r="D23">
        <v>1.5875999999999999</v>
      </c>
      <c r="E23" s="1">
        <f t="shared" si="3"/>
        <v>0.37986111111111109</v>
      </c>
      <c r="F23" s="3">
        <v>46168</v>
      </c>
    </row>
    <row r="24" spans="1:6" x14ac:dyDescent="0.3">
      <c r="A24" t="s">
        <v>88</v>
      </c>
      <c r="B24">
        <f t="shared" si="1"/>
        <v>20</v>
      </c>
      <c r="C24">
        <f t="shared" si="2"/>
        <v>6.8000000000000287E-4</v>
      </c>
      <c r="D24">
        <v>1.4031</v>
      </c>
      <c r="E24" s="1">
        <f t="shared" si="3"/>
        <v>0.38055555555555554</v>
      </c>
      <c r="F24" s="3">
        <v>46168</v>
      </c>
    </row>
    <row r="25" spans="1:6" x14ac:dyDescent="0.3">
      <c r="A25" t="s">
        <v>89</v>
      </c>
      <c r="B25">
        <f t="shared" si="1"/>
        <v>20</v>
      </c>
      <c r="C25">
        <f t="shared" si="2"/>
        <v>4.0499999999999982E-4</v>
      </c>
      <c r="D25">
        <v>0.94910000000000005</v>
      </c>
      <c r="E25" s="1">
        <f t="shared" si="3"/>
        <v>0.38124999999999998</v>
      </c>
      <c r="F25" s="3">
        <v>46168</v>
      </c>
    </row>
    <row r="26" spans="1:6" x14ac:dyDescent="0.3">
      <c r="A26" t="s">
        <v>90</v>
      </c>
      <c r="B26">
        <f t="shared" si="1"/>
        <v>20</v>
      </c>
      <c r="C26">
        <f t="shared" si="2"/>
        <v>9.80000000000003E-4</v>
      </c>
      <c r="D26">
        <v>2.9493999999999998</v>
      </c>
      <c r="E26" s="1">
        <f t="shared" si="3"/>
        <v>0.38194444444444442</v>
      </c>
      <c r="F26" s="3">
        <v>46168</v>
      </c>
    </row>
    <row r="27" spans="1:6" x14ac:dyDescent="0.3">
      <c r="A27" t="s">
        <v>91</v>
      </c>
      <c r="B27">
        <f t="shared" si="1"/>
        <v>20</v>
      </c>
      <c r="C27">
        <f t="shared" si="2"/>
        <v>5.8000000000000271E-4</v>
      </c>
      <c r="D27">
        <v>1.5794999999999999</v>
      </c>
      <c r="E27" s="1">
        <f t="shared" si="3"/>
        <v>0.38263888888888886</v>
      </c>
      <c r="F27" s="3">
        <v>46168</v>
      </c>
    </row>
    <row r="28" spans="1:6" x14ac:dyDescent="0.3">
      <c r="A28" t="s">
        <v>92</v>
      </c>
      <c r="B28">
        <f t="shared" si="1"/>
        <v>20</v>
      </c>
      <c r="C28">
        <f t="shared" si="2"/>
        <v>1.2299999999999978E-3</v>
      </c>
      <c r="D28">
        <v>2.0026000000000002</v>
      </c>
      <c r="E28" s="1">
        <f t="shared" si="3"/>
        <v>0.38402777777777775</v>
      </c>
      <c r="F28" s="3">
        <v>46168</v>
      </c>
    </row>
    <row r="29" spans="1:6" x14ac:dyDescent="0.3">
      <c r="A29" t="s">
        <v>93</v>
      </c>
      <c r="B29">
        <f t="shared" si="1"/>
        <v>40</v>
      </c>
      <c r="C29">
        <f t="shared" si="2"/>
        <v>1.1449999999999961E-3</v>
      </c>
      <c r="D29">
        <v>2.7845</v>
      </c>
      <c r="E29" s="1">
        <f t="shared" si="3"/>
        <v>0.39097222222222222</v>
      </c>
      <c r="F29" s="3">
        <v>46168</v>
      </c>
    </row>
    <row r="30" spans="1:6" x14ac:dyDescent="0.3">
      <c r="A30" t="s">
        <v>94</v>
      </c>
      <c r="B30">
        <f t="shared" si="1"/>
        <v>40</v>
      </c>
      <c r="C30">
        <f t="shared" si="2"/>
        <v>7.1499999999999895E-4</v>
      </c>
      <c r="D30">
        <v>1.8099000000000001</v>
      </c>
      <c r="E30" s="1">
        <f t="shared" si="3"/>
        <v>0.39166666666666666</v>
      </c>
      <c r="F30" s="3">
        <v>46168</v>
      </c>
    </row>
    <row r="31" spans="1:6" x14ac:dyDescent="0.3">
      <c r="A31" t="s">
        <v>95</v>
      </c>
      <c r="B31">
        <f t="shared" si="1"/>
        <v>40</v>
      </c>
      <c r="C31">
        <f t="shared" si="2"/>
        <v>9.2000000000000968E-4</v>
      </c>
      <c r="D31">
        <v>2.9441999999999999</v>
      </c>
      <c r="E31" s="1">
        <f t="shared" si="3"/>
        <v>0.39305555555555555</v>
      </c>
      <c r="F31" s="3">
        <v>46168</v>
      </c>
    </row>
    <row r="32" spans="1:6" x14ac:dyDescent="0.3">
      <c r="A32" t="s">
        <v>87</v>
      </c>
      <c r="B32">
        <f t="shared" si="1"/>
        <v>40</v>
      </c>
      <c r="C32">
        <f t="shared" si="2"/>
        <v>1.1249999999999982E-3</v>
      </c>
      <c r="D32">
        <v>1.5650999999999999</v>
      </c>
      <c r="E32" s="1">
        <f t="shared" si="3"/>
        <v>0.39374999999999999</v>
      </c>
      <c r="F32" s="3">
        <v>46168</v>
      </c>
    </row>
    <row r="33" spans="1:6" x14ac:dyDescent="0.3">
      <c r="A33" t="s">
        <v>88</v>
      </c>
      <c r="B33">
        <f t="shared" si="1"/>
        <v>40</v>
      </c>
      <c r="C33">
        <f t="shared" si="2"/>
        <v>6.4499999999999562E-4</v>
      </c>
      <c r="D33">
        <v>1.3902000000000001</v>
      </c>
      <c r="E33" s="1">
        <f t="shared" si="3"/>
        <v>0.39444444444444443</v>
      </c>
      <c r="F33" s="3">
        <v>46168</v>
      </c>
    </row>
    <row r="34" spans="1:6" x14ac:dyDescent="0.3">
      <c r="A34" t="s">
        <v>89</v>
      </c>
      <c r="B34">
        <f t="shared" si="1"/>
        <v>40</v>
      </c>
      <c r="C34">
        <f t="shared" si="2"/>
        <v>4.1000000000000482E-4</v>
      </c>
      <c r="D34">
        <v>0.94089999999999996</v>
      </c>
      <c r="E34" s="1">
        <f t="shared" si="3"/>
        <v>0.39513888888888887</v>
      </c>
      <c r="F34" s="3">
        <v>46168</v>
      </c>
    </row>
    <row r="35" spans="1:6" x14ac:dyDescent="0.3">
      <c r="A35" t="s">
        <v>90</v>
      </c>
      <c r="B35">
        <f t="shared" si="1"/>
        <v>40</v>
      </c>
      <c r="C35">
        <f t="shared" si="2"/>
        <v>9.8999999999997983E-4</v>
      </c>
      <c r="D35">
        <v>2.9296000000000002</v>
      </c>
      <c r="E35" s="1">
        <f t="shared" si="3"/>
        <v>0.39583333333333331</v>
      </c>
      <c r="F35" s="3">
        <v>46168</v>
      </c>
    </row>
    <row r="36" spans="1:6" x14ac:dyDescent="0.3">
      <c r="A36" t="s">
        <v>91</v>
      </c>
      <c r="B36">
        <f t="shared" si="1"/>
        <v>40</v>
      </c>
      <c r="C36">
        <f t="shared" si="2"/>
        <v>5.5499999999999441E-4</v>
      </c>
      <c r="D36">
        <v>1.5684</v>
      </c>
      <c r="E36" s="1">
        <f t="shared" si="3"/>
        <v>0.39652777777777776</v>
      </c>
      <c r="F36" s="3">
        <v>46168</v>
      </c>
    </row>
    <row r="37" spans="1:6" x14ac:dyDescent="0.3">
      <c r="A37" t="s">
        <v>92</v>
      </c>
      <c r="B37">
        <f t="shared" si="1"/>
        <v>40</v>
      </c>
      <c r="C37">
        <f t="shared" si="2"/>
        <v>1.1500000000000065E-3</v>
      </c>
      <c r="D37">
        <v>1.9796</v>
      </c>
      <c r="E37" s="1">
        <f t="shared" si="3"/>
        <v>0.39791666666666664</v>
      </c>
      <c r="F37" s="3">
        <v>46168</v>
      </c>
    </row>
    <row r="38" spans="1:6" x14ac:dyDescent="0.3">
      <c r="A38" t="s">
        <v>93</v>
      </c>
      <c r="B38">
        <f t="shared" si="1"/>
        <v>60</v>
      </c>
      <c r="C38">
        <f t="shared" si="2"/>
        <v>1.1849999999999916E-3</v>
      </c>
      <c r="D38">
        <v>2.7608000000000001</v>
      </c>
      <c r="E38" s="1">
        <f t="shared" si="3"/>
        <v>0.40486111111111112</v>
      </c>
      <c r="F38" s="3">
        <v>46168</v>
      </c>
    </row>
    <row r="39" spans="1:6" x14ac:dyDescent="0.3">
      <c r="A39" t="s">
        <v>94</v>
      </c>
      <c r="B39">
        <f t="shared" si="1"/>
        <v>60</v>
      </c>
      <c r="C39">
        <f t="shared" si="2"/>
        <v>8.3000000000000847E-4</v>
      </c>
      <c r="D39">
        <v>1.7932999999999999</v>
      </c>
      <c r="E39" s="1">
        <f t="shared" si="3"/>
        <v>0.40555555555555556</v>
      </c>
      <c r="F39" s="3">
        <v>46168</v>
      </c>
    </row>
    <row r="40" spans="1:6" x14ac:dyDescent="0.3">
      <c r="A40" t="s">
        <v>95</v>
      </c>
      <c r="B40">
        <f t="shared" si="1"/>
        <v>60</v>
      </c>
      <c r="C40">
        <f t="shared" si="2"/>
        <v>8.4999999999999518E-4</v>
      </c>
      <c r="D40">
        <v>2.9272</v>
      </c>
      <c r="E40" s="1">
        <f t="shared" si="3"/>
        <v>0.40694444444444444</v>
      </c>
      <c r="F40" s="3">
        <v>46168</v>
      </c>
    </row>
    <row r="41" spans="1:6" x14ac:dyDescent="0.3">
      <c r="A41" t="s">
        <v>87</v>
      </c>
      <c r="B41">
        <f t="shared" si="1"/>
        <v>60</v>
      </c>
      <c r="C41">
        <f t="shared" si="2"/>
        <v>1.1799999999999923E-3</v>
      </c>
      <c r="D41">
        <v>1.5415000000000001</v>
      </c>
      <c r="E41" s="1">
        <f t="shared" si="3"/>
        <v>0.40763888888888888</v>
      </c>
      <c r="F41" s="3">
        <v>46168</v>
      </c>
    </row>
    <row r="42" spans="1:6" x14ac:dyDescent="0.3">
      <c r="A42" t="s">
        <v>88</v>
      </c>
      <c r="B42">
        <f t="shared" si="1"/>
        <v>60</v>
      </c>
      <c r="C42">
        <f t="shared" si="2"/>
        <v>5.7000000000000388E-4</v>
      </c>
      <c r="D42">
        <v>1.3788</v>
      </c>
      <c r="E42" s="1">
        <f t="shared" si="3"/>
        <v>0.40833333333333333</v>
      </c>
      <c r="F42" s="3">
        <v>46168</v>
      </c>
    </row>
    <row r="43" spans="1:6" x14ac:dyDescent="0.3">
      <c r="A43" t="s">
        <v>89</v>
      </c>
      <c r="B43">
        <f t="shared" si="1"/>
        <v>60</v>
      </c>
      <c r="C43">
        <f t="shared" si="2"/>
        <v>3.8499999999999646E-4</v>
      </c>
      <c r="D43">
        <v>0.93320000000000003</v>
      </c>
      <c r="E43" s="1">
        <f t="shared" si="3"/>
        <v>0.40902777777777777</v>
      </c>
      <c r="F43" s="3">
        <v>46168</v>
      </c>
    </row>
    <row r="44" spans="1:6" x14ac:dyDescent="0.3">
      <c r="A44" t="s">
        <v>90</v>
      </c>
      <c r="B44">
        <f t="shared" si="1"/>
        <v>60</v>
      </c>
      <c r="C44">
        <f t="shared" si="2"/>
        <v>8.3000000000001963E-4</v>
      </c>
      <c r="D44">
        <v>2.9129999999999998</v>
      </c>
      <c r="E44" s="1">
        <f t="shared" si="3"/>
        <v>0.40972222222222221</v>
      </c>
      <c r="F44" s="3">
        <v>46168</v>
      </c>
    </row>
    <row r="45" spans="1:6" x14ac:dyDescent="0.3">
      <c r="A45" t="s">
        <v>91</v>
      </c>
      <c r="B45">
        <f t="shared" si="1"/>
        <v>60</v>
      </c>
      <c r="C45">
        <f t="shared" si="2"/>
        <v>5.0499999999999992E-4</v>
      </c>
      <c r="D45">
        <v>1.5583</v>
      </c>
      <c r="E45" s="1">
        <f t="shared" si="3"/>
        <v>0.41041666666666665</v>
      </c>
      <c r="F45" s="3">
        <v>46168</v>
      </c>
    </row>
    <row r="46" spans="1:6" x14ac:dyDescent="0.3">
      <c r="A46" t="s">
        <v>92</v>
      </c>
      <c r="B46">
        <f t="shared" si="1"/>
        <v>60</v>
      </c>
      <c r="C46">
        <f t="shared" si="2"/>
        <v>1.1800000000000033E-3</v>
      </c>
      <c r="D46">
        <v>1.956</v>
      </c>
      <c r="E46" s="1">
        <f t="shared" si="3"/>
        <v>0.41180555555555554</v>
      </c>
      <c r="F46" s="3">
        <v>46168</v>
      </c>
    </row>
    <row r="47" spans="1:6" x14ac:dyDescent="0.3">
      <c r="A47" t="s">
        <v>93</v>
      </c>
      <c r="B47">
        <f t="shared" si="1"/>
        <v>80</v>
      </c>
      <c r="C47">
        <f t="shared" si="2"/>
        <v>1.2500000000000178E-3</v>
      </c>
      <c r="D47">
        <v>2.7357999999999998</v>
      </c>
      <c r="E47" s="1">
        <f t="shared" si="3"/>
        <v>0.41875000000000001</v>
      </c>
      <c r="F47" s="3">
        <v>46168</v>
      </c>
    </row>
    <row r="48" spans="1:6" x14ac:dyDescent="0.3">
      <c r="A48" t="s">
        <v>94</v>
      </c>
      <c r="B48">
        <f t="shared" si="1"/>
        <v>80</v>
      </c>
      <c r="C48">
        <f t="shared" si="2"/>
        <v>8.4999999999999518E-4</v>
      </c>
      <c r="D48">
        <v>1.7763</v>
      </c>
      <c r="E48" s="1">
        <f t="shared" si="3"/>
        <v>0.41944444444444445</v>
      </c>
      <c r="F48" s="3">
        <v>46168</v>
      </c>
    </row>
    <row r="49" spans="1:6" x14ac:dyDescent="0.3">
      <c r="A49" t="s">
        <v>95</v>
      </c>
      <c r="B49">
        <f t="shared" si="1"/>
        <v>80</v>
      </c>
      <c r="C49">
        <f t="shared" si="2"/>
        <v>8.1999999999999846E-4</v>
      </c>
      <c r="D49">
        <v>2.9108000000000001</v>
      </c>
      <c r="E49" s="1">
        <f t="shared" si="3"/>
        <v>0.42083333333333334</v>
      </c>
      <c r="F49" s="3">
        <v>46168</v>
      </c>
    </row>
    <row r="50" spans="1:6" x14ac:dyDescent="0.3">
      <c r="A50" t="s">
        <v>87</v>
      </c>
      <c r="B50">
        <f t="shared" si="1"/>
        <v>80</v>
      </c>
      <c r="C50">
        <f t="shared" si="2"/>
        <v>1.1850000000000027E-3</v>
      </c>
      <c r="D50">
        <v>1.5178</v>
      </c>
      <c r="E50" s="1">
        <f t="shared" si="3"/>
        <v>0.42152777777777778</v>
      </c>
      <c r="F50" s="3">
        <v>46168</v>
      </c>
    </row>
    <row r="51" spans="1:6" x14ac:dyDescent="0.3">
      <c r="A51" t="s">
        <v>88</v>
      </c>
      <c r="B51">
        <f t="shared" si="1"/>
        <v>80</v>
      </c>
      <c r="C51">
        <f t="shared" si="2"/>
        <v>6.3999999999999615E-4</v>
      </c>
      <c r="D51">
        <v>1.3660000000000001</v>
      </c>
      <c r="E51" s="1">
        <f t="shared" si="3"/>
        <v>0.42222222222222222</v>
      </c>
      <c r="F51" s="3">
        <v>46168</v>
      </c>
    </row>
    <row r="52" spans="1:6" x14ac:dyDescent="0.3">
      <c r="A52" t="s">
        <v>89</v>
      </c>
      <c r="B52">
        <f t="shared" si="1"/>
        <v>80</v>
      </c>
      <c r="C52">
        <f t="shared" si="2"/>
        <v>3.5499999999999974E-4</v>
      </c>
      <c r="D52">
        <v>0.92610000000000003</v>
      </c>
      <c r="E52" s="1">
        <f t="shared" si="3"/>
        <v>0.42291666666666666</v>
      </c>
      <c r="F52" s="3">
        <v>46168</v>
      </c>
    </row>
    <row r="53" spans="1:6" x14ac:dyDescent="0.3">
      <c r="A53" t="s">
        <v>90</v>
      </c>
      <c r="B53">
        <f t="shared" si="1"/>
        <v>80</v>
      </c>
      <c r="C53">
        <f t="shared" si="2"/>
        <v>8.9999999999998968E-4</v>
      </c>
      <c r="D53">
        <v>2.895</v>
      </c>
      <c r="E53" s="1">
        <f t="shared" si="3"/>
        <v>0.4236111111111111</v>
      </c>
      <c r="F53" s="3">
        <v>46168</v>
      </c>
    </row>
    <row r="54" spans="1:6" x14ac:dyDescent="0.3">
      <c r="A54" t="s">
        <v>91</v>
      </c>
      <c r="B54">
        <f t="shared" si="1"/>
        <v>80</v>
      </c>
      <c r="C54">
        <f t="shared" si="2"/>
        <v>5.1499999999999875E-4</v>
      </c>
      <c r="D54">
        <v>1.548</v>
      </c>
      <c r="E54" s="1">
        <f t="shared" si="3"/>
        <v>0.42430555555555555</v>
      </c>
      <c r="F54" s="3">
        <v>46168</v>
      </c>
    </row>
    <row r="55" spans="1:6" x14ac:dyDescent="0.3">
      <c r="A55" t="s">
        <v>92</v>
      </c>
      <c r="B55">
        <f t="shared" si="1"/>
        <v>80</v>
      </c>
      <c r="C55">
        <f t="shared" si="2"/>
        <v>1.1000000000000009E-3</v>
      </c>
      <c r="D55">
        <v>1.9339999999999999</v>
      </c>
      <c r="E55" s="1">
        <f t="shared" si="3"/>
        <v>0.42569444444444443</v>
      </c>
      <c r="F55" s="3">
        <v>46168</v>
      </c>
    </row>
    <row r="56" spans="1:6" x14ac:dyDescent="0.3">
      <c r="A56" t="s">
        <v>93</v>
      </c>
      <c r="B56">
        <f t="shared" si="1"/>
        <v>100</v>
      </c>
      <c r="C56">
        <f t="shared" si="2"/>
        <v>1.3899999999999802E-3</v>
      </c>
      <c r="D56">
        <v>2.7080000000000002</v>
      </c>
      <c r="E56" s="1">
        <f t="shared" si="3"/>
        <v>0.43263888888888891</v>
      </c>
      <c r="F56" s="3">
        <v>46168</v>
      </c>
    </row>
    <row r="57" spans="1:6" x14ac:dyDescent="0.3">
      <c r="A57" t="s">
        <v>94</v>
      </c>
      <c r="B57">
        <f t="shared" si="1"/>
        <v>100</v>
      </c>
      <c r="C57">
        <f t="shared" si="2"/>
        <v>1.0349999999999971E-3</v>
      </c>
      <c r="D57">
        <v>1.7556</v>
      </c>
      <c r="E57" s="1">
        <f t="shared" si="3"/>
        <v>0.43333333333333335</v>
      </c>
      <c r="F57" s="3">
        <v>46168</v>
      </c>
    </row>
    <row r="58" spans="1:6" x14ac:dyDescent="0.3">
      <c r="A58" t="s">
        <v>95</v>
      </c>
      <c r="B58">
        <f t="shared" si="1"/>
        <v>100</v>
      </c>
      <c r="C58">
        <f t="shared" si="2"/>
        <v>8.6500000000000465E-4</v>
      </c>
      <c r="D58">
        <v>2.8935</v>
      </c>
      <c r="E58" s="1">
        <f t="shared" si="3"/>
        <v>0.43472222222222223</v>
      </c>
      <c r="F58" s="3">
        <v>46168</v>
      </c>
    </row>
    <row r="59" spans="1:6" x14ac:dyDescent="0.3">
      <c r="A59" t="s">
        <v>87</v>
      </c>
      <c r="B59">
        <f t="shared" si="1"/>
        <v>100</v>
      </c>
      <c r="C59">
        <f t="shared" si="2"/>
        <v>1.0600000000000054E-3</v>
      </c>
      <c r="D59">
        <v>1.4965999999999999</v>
      </c>
      <c r="E59" s="1">
        <f t="shared" si="3"/>
        <v>0.43541666666666667</v>
      </c>
      <c r="F59" s="3">
        <v>46168</v>
      </c>
    </row>
    <row r="60" spans="1:6" x14ac:dyDescent="0.3">
      <c r="A60" t="s">
        <v>88</v>
      </c>
      <c r="B60">
        <f t="shared" si="1"/>
        <v>100</v>
      </c>
      <c r="C60">
        <f t="shared" si="2"/>
        <v>8.1500000000001016E-4</v>
      </c>
      <c r="D60">
        <v>1.3496999999999999</v>
      </c>
      <c r="E60" s="1">
        <f t="shared" si="3"/>
        <v>0.43611111111111112</v>
      </c>
      <c r="F60" s="3">
        <v>46168</v>
      </c>
    </row>
    <row r="61" spans="1:6" x14ac:dyDescent="0.3">
      <c r="A61" t="s">
        <v>89</v>
      </c>
      <c r="B61">
        <f t="shared" si="1"/>
        <v>100</v>
      </c>
      <c r="C61">
        <f t="shared" si="2"/>
        <v>3.8500000000000199E-4</v>
      </c>
      <c r="D61">
        <v>0.91839999999999999</v>
      </c>
      <c r="E61" s="1">
        <f t="shared" si="3"/>
        <v>0.43680555555555556</v>
      </c>
      <c r="F61" s="3">
        <v>46168</v>
      </c>
    </row>
    <row r="62" spans="1:6" x14ac:dyDescent="0.3">
      <c r="A62" t="s">
        <v>90</v>
      </c>
      <c r="B62">
        <f t="shared" si="1"/>
        <v>100</v>
      </c>
      <c r="C62">
        <f t="shared" si="2"/>
        <v>9.1000000000001084E-4</v>
      </c>
      <c r="D62">
        <v>2.8767999999999998</v>
      </c>
      <c r="E62" s="1">
        <f t="shared" si="3"/>
        <v>0.4375</v>
      </c>
      <c r="F62" s="3">
        <v>46168</v>
      </c>
    </row>
    <row r="63" spans="1:6" x14ac:dyDescent="0.3">
      <c r="A63" t="s">
        <v>91</v>
      </c>
      <c r="B63">
        <f t="shared" si="1"/>
        <v>100</v>
      </c>
      <c r="C63">
        <f t="shared" si="2"/>
        <v>4.900000000000015E-4</v>
      </c>
      <c r="D63">
        <v>1.5382</v>
      </c>
      <c r="E63" s="1">
        <f t="shared" si="3"/>
        <v>0.43819444444444444</v>
      </c>
      <c r="F63" s="3">
        <v>46168</v>
      </c>
    </row>
    <row r="64" spans="1:6" x14ac:dyDescent="0.3">
      <c r="A64" t="s">
        <v>92</v>
      </c>
      <c r="B64">
        <f t="shared" si="1"/>
        <v>100</v>
      </c>
      <c r="C64">
        <f t="shared" si="2"/>
        <v>1.1699999999999933E-3</v>
      </c>
      <c r="D64">
        <v>1.9106000000000001</v>
      </c>
      <c r="E64" s="1">
        <f t="shared" si="3"/>
        <v>0.43958333333333333</v>
      </c>
      <c r="F64" s="3">
        <v>46168</v>
      </c>
    </row>
    <row r="65" spans="1:6" x14ac:dyDescent="0.3">
      <c r="A65" t="s">
        <v>93</v>
      </c>
      <c r="B65">
        <f t="shared" si="1"/>
        <v>120</v>
      </c>
      <c r="C65">
        <f t="shared" si="2"/>
        <v>1.8050000000000121E-3</v>
      </c>
      <c r="D65">
        <v>2.6718999999999999</v>
      </c>
      <c r="E65" s="1">
        <f t="shared" si="3"/>
        <v>0.4465277777777778</v>
      </c>
      <c r="F65" s="3">
        <v>46168</v>
      </c>
    </row>
    <row r="66" spans="1:6" x14ac:dyDescent="0.3">
      <c r="A66" t="s">
        <v>94</v>
      </c>
      <c r="B66">
        <f t="shared" si="1"/>
        <v>120</v>
      </c>
      <c r="C66">
        <f t="shared" si="2"/>
        <v>9.1499999999999915E-4</v>
      </c>
      <c r="D66">
        <v>1.7373000000000001</v>
      </c>
      <c r="E66" s="1">
        <f t="shared" si="3"/>
        <v>0.44722222222222224</v>
      </c>
      <c r="F66" s="3">
        <v>46168</v>
      </c>
    </row>
    <row r="67" spans="1:6" x14ac:dyDescent="0.3">
      <c r="A67" t="s">
        <v>95</v>
      </c>
      <c r="B67">
        <f t="shared" si="1"/>
        <v>120</v>
      </c>
      <c r="C67">
        <f t="shared" si="2"/>
        <v>6.9500000000000117E-4</v>
      </c>
      <c r="D67">
        <v>2.8795999999999999</v>
      </c>
      <c r="E67" s="1">
        <f t="shared" si="3"/>
        <v>0.44861111111111113</v>
      </c>
      <c r="F67" s="3">
        <v>46168</v>
      </c>
    </row>
    <row r="68" spans="1:6" x14ac:dyDescent="0.3">
      <c r="A68" t="s">
        <v>87</v>
      </c>
      <c r="B68">
        <f t="shared" si="1"/>
        <v>120</v>
      </c>
      <c r="C68">
        <f t="shared" si="2"/>
        <v>8.5999999999999412E-4</v>
      </c>
      <c r="D68">
        <v>1.4794</v>
      </c>
      <c r="E68" s="1">
        <f t="shared" si="3"/>
        <v>0.44930555555555557</v>
      </c>
      <c r="F68" s="3">
        <v>46168</v>
      </c>
    </row>
    <row r="69" spans="1:6" x14ac:dyDescent="0.3">
      <c r="A69" t="s">
        <v>88</v>
      </c>
      <c r="B69">
        <f t="shared" si="1"/>
        <v>120</v>
      </c>
      <c r="C69">
        <f t="shared" si="2"/>
        <v>5.4499999999999547E-4</v>
      </c>
      <c r="D69">
        <v>1.3388</v>
      </c>
      <c r="E69" s="1">
        <f t="shared" si="3"/>
        <v>0.45</v>
      </c>
      <c r="F69" s="3">
        <v>46168</v>
      </c>
    </row>
    <row r="70" spans="1:6" x14ac:dyDescent="0.3">
      <c r="A70" t="s">
        <v>89</v>
      </c>
      <c r="B70">
        <f t="shared" si="1"/>
        <v>120</v>
      </c>
      <c r="C70">
        <f t="shared" si="2"/>
        <v>3.3500000000000196E-4</v>
      </c>
      <c r="D70">
        <v>0.91169999999999995</v>
      </c>
      <c r="E70" s="1">
        <f t="shared" si="3"/>
        <v>0.45069444444444445</v>
      </c>
      <c r="F70" s="3">
        <v>46168</v>
      </c>
    </row>
    <row r="71" spans="1:6" x14ac:dyDescent="0.3">
      <c r="A71" t="s">
        <v>90</v>
      </c>
      <c r="B71">
        <f t="shared" si="1"/>
        <v>120</v>
      </c>
      <c r="C71">
        <f t="shared" si="2"/>
        <v>7.3499999999999672E-4</v>
      </c>
      <c r="D71">
        <v>2.8620999999999999</v>
      </c>
      <c r="E71" s="1">
        <f t="shared" si="3"/>
        <v>0.4513888888888889</v>
      </c>
      <c r="F71" s="3">
        <v>46168</v>
      </c>
    </row>
    <row r="72" spans="1:6" x14ac:dyDescent="0.3">
      <c r="A72" t="s">
        <v>91</v>
      </c>
      <c r="B72">
        <f t="shared" si="1"/>
        <v>120</v>
      </c>
      <c r="C72">
        <f t="shared" si="2"/>
        <v>5.2999999999999716E-4</v>
      </c>
      <c r="D72">
        <v>1.5276000000000001</v>
      </c>
      <c r="E72" s="1">
        <f t="shared" si="3"/>
        <v>0.45208333333333334</v>
      </c>
      <c r="F72" s="3">
        <v>46168</v>
      </c>
    </row>
    <row r="73" spans="1:6" x14ac:dyDescent="0.3">
      <c r="A73" t="s">
        <v>92</v>
      </c>
      <c r="B73">
        <f t="shared" si="1"/>
        <v>120</v>
      </c>
      <c r="C73">
        <f t="shared" si="2"/>
        <v>1.1050000000000005E-3</v>
      </c>
      <c r="D73">
        <v>1.8885000000000001</v>
      </c>
      <c r="E73" s="1">
        <f t="shared" si="3"/>
        <v>0.45347222222222222</v>
      </c>
      <c r="F73" s="3">
        <v>46168</v>
      </c>
    </row>
    <row r="74" spans="1:6" x14ac:dyDescent="0.3">
      <c r="A74" t="s">
        <v>93</v>
      </c>
      <c r="B74">
        <f t="shared" si="1"/>
        <v>140</v>
      </c>
      <c r="C74">
        <f t="shared" si="2"/>
        <v>1.5449999999999965E-3</v>
      </c>
      <c r="D74">
        <v>2.641</v>
      </c>
      <c r="E74" s="1">
        <f t="shared" si="3"/>
        <v>0.4604166666666667</v>
      </c>
      <c r="F74" s="3">
        <v>46168</v>
      </c>
    </row>
    <row r="75" spans="1:6" x14ac:dyDescent="0.3">
      <c r="A75" t="s">
        <v>94</v>
      </c>
      <c r="B75">
        <f t="shared" si="1"/>
        <v>140</v>
      </c>
      <c r="C75">
        <f t="shared" si="2"/>
        <v>7.1499999999999895E-4</v>
      </c>
      <c r="D75">
        <v>1.7230000000000001</v>
      </c>
      <c r="E75" s="1">
        <f t="shared" si="3"/>
        <v>0.46111111111111114</v>
      </c>
      <c r="F75" s="3">
        <v>46168</v>
      </c>
    </row>
    <row r="76" spans="1:6" x14ac:dyDescent="0.3">
      <c r="A76" t="s">
        <v>95</v>
      </c>
      <c r="B76">
        <f t="shared" si="1"/>
        <v>140</v>
      </c>
      <c r="C76">
        <f t="shared" si="2"/>
        <v>7.7499999999999238E-4</v>
      </c>
      <c r="D76">
        <v>2.8641000000000001</v>
      </c>
      <c r="E76" s="1">
        <f t="shared" si="3"/>
        <v>0.46250000000000002</v>
      </c>
      <c r="F76" s="3">
        <v>46168</v>
      </c>
    </row>
    <row r="77" spans="1:6" x14ac:dyDescent="0.3">
      <c r="A77" t="s">
        <v>87</v>
      </c>
      <c r="B77">
        <f t="shared" si="1"/>
        <v>140</v>
      </c>
      <c r="C77">
        <f t="shared" si="2"/>
        <v>9.5000000000000639E-4</v>
      </c>
      <c r="D77">
        <v>1.4603999999999999</v>
      </c>
      <c r="E77" s="1">
        <f t="shared" si="3"/>
        <v>0.46319444444444446</v>
      </c>
      <c r="F77" s="3">
        <v>46168</v>
      </c>
    </row>
    <row r="78" spans="1:6" x14ac:dyDescent="0.3">
      <c r="A78" t="s">
        <v>88</v>
      </c>
      <c r="B78">
        <f t="shared" si="1"/>
        <v>140</v>
      </c>
      <c r="C78">
        <f t="shared" si="2"/>
        <v>6.2999999999999721E-4</v>
      </c>
      <c r="D78">
        <v>1.3262</v>
      </c>
      <c r="E78" s="1">
        <f t="shared" si="3"/>
        <v>0.46388888888888891</v>
      </c>
      <c r="F78" s="3">
        <v>46168</v>
      </c>
    </row>
    <row r="79" spans="1:6" x14ac:dyDescent="0.3">
      <c r="A79" t="s">
        <v>89</v>
      </c>
      <c r="B79">
        <f t="shared" si="1"/>
        <v>140</v>
      </c>
      <c r="C79">
        <f t="shared" si="2"/>
        <v>3.8499999999999646E-4</v>
      </c>
      <c r="D79">
        <v>0.90400000000000003</v>
      </c>
      <c r="E79" s="1">
        <f t="shared" si="3"/>
        <v>0.46458333333333335</v>
      </c>
      <c r="F79" s="3">
        <v>46168</v>
      </c>
    </row>
    <row r="80" spans="1:6" x14ac:dyDescent="0.3">
      <c r="A80" t="s">
        <v>90</v>
      </c>
      <c r="B80">
        <f t="shared" si="1"/>
        <v>140</v>
      </c>
      <c r="C80">
        <f t="shared" si="2"/>
        <v>8.5499999999998359E-4</v>
      </c>
      <c r="D80">
        <v>2.8450000000000002</v>
      </c>
      <c r="E80" s="1">
        <f t="shared" si="3"/>
        <v>0.46527777777777779</v>
      </c>
      <c r="F80" s="3">
        <v>46168</v>
      </c>
    </row>
    <row r="81" spans="1:6" x14ac:dyDescent="0.3">
      <c r="A81" t="s">
        <v>91</v>
      </c>
      <c r="B81">
        <f t="shared" si="1"/>
        <v>140</v>
      </c>
      <c r="C81">
        <f t="shared" si="2"/>
        <v>5.6500000000000441E-4</v>
      </c>
      <c r="D81">
        <v>1.5163</v>
      </c>
      <c r="E81" s="1">
        <f t="shared" si="3"/>
        <v>0.46597222222222223</v>
      </c>
      <c r="F81" s="3">
        <v>46168</v>
      </c>
    </row>
    <row r="82" spans="1:6" x14ac:dyDescent="0.3">
      <c r="A82" t="s">
        <v>92</v>
      </c>
      <c r="B82">
        <f t="shared" si="1"/>
        <v>140</v>
      </c>
      <c r="C82">
        <f t="shared" si="2"/>
        <v>1.0850000000000026E-3</v>
      </c>
      <c r="D82">
        <v>1.8668</v>
      </c>
      <c r="E82" s="1">
        <f t="shared" si="3"/>
        <v>0.46736111111111112</v>
      </c>
      <c r="F82" s="3">
        <v>46168</v>
      </c>
    </row>
    <row r="83" spans="1:6" x14ac:dyDescent="0.3">
      <c r="A83" t="s">
        <v>93</v>
      </c>
      <c r="B83">
        <f t="shared" si="1"/>
        <v>160</v>
      </c>
      <c r="C83">
        <f t="shared" si="2"/>
        <v>1.275000000000004E-3</v>
      </c>
      <c r="D83">
        <v>2.6154999999999999</v>
      </c>
      <c r="E83" s="1">
        <f t="shared" si="3"/>
        <v>0.47430555555555559</v>
      </c>
      <c r="F83" s="3">
        <v>46168</v>
      </c>
    </row>
    <row r="84" spans="1:6" x14ac:dyDescent="0.3">
      <c r="A84" t="s">
        <v>94</v>
      </c>
      <c r="B84">
        <f t="shared" si="1"/>
        <v>160</v>
      </c>
      <c r="C84">
        <f t="shared" si="2"/>
        <v>6.3500000000000774E-4</v>
      </c>
      <c r="D84">
        <v>1.7102999999999999</v>
      </c>
      <c r="E84" s="1">
        <f t="shared" si="3"/>
        <v>0.47500000000000003</v>
      </c>
      <c r="F84" s="3">
        <v>46168</v>
      </c>
    </row>
    <row r="85" spans="1:6" x14ac:dyDescent="0.3">
      <c r="A85" t="s">
        <v>95</v>
      </c>
      <c r="B85">
        <f t="shared" ref="B85:B136" si="4">B76+20</f>
        <v>160</v>
      </c>
      <c r="C85">
        <f t="shared" ref="C85:C136" si="5">(D76-D85)/20</f>
        <v>7.2499999999999789E-4</v>
      </c>
      <c r="D85">
        <v>2.8496000000000001</v>
      </c>
      <c r="E85" s="1">
        <f t="shared" ref="E85:E136" si="6">E76+(20/1440)</f>
        <v>0.47638888888888892</v>
      </c>
      <c r="F85" s="3">
        <v>46168</v>
      </c>
    </row>
    <row r="86" spans="1:6" x14ac:dyDescent="0.3">
      <c r="A86" t="s">
        <v>87</v>
      </c>
      <c r="B86">
        <f t="shared" si="4"/>
        <v>160</v>
      </c>
      <c r="C86">
        <f t="shared" si="5"/>
        <v>8.6999999999999296E-4</v>
      </c>
      <c r="D86">
        <v>1.4430000000000001</v>
      </c>
      <c r="E86" s="1">
        <f t="shared" si="6"/>
        <v>0.47708333333333336</v>
      </c>
      <c r="F86" s="3">
        <v>46168</v>
      </c>
    </row>
    <row r="87" spans="1:6" x14ac:dyDescent="0.3">
      <c r="A87" t="s">
        <v>88</v>
      </c>
      <c r="B87">
        <f t="shared" si="4"/>
        <v>160</v>
      </c>
      <c r="C87">
        <f t="shared" si="5"/>
        <v>5.0000000000000044E-4</v>
      </c>
      <c r="D87">
        <v>1.3162</v>
      </c>
      <c r="E87" s="1">
        <f t="shared" si="6"/>
        <v>0.4777777777777778</v>
      </c>
      <c r="F87" s="3">
        <v>46168</v>
      </c>
    </row>
    <row r="88" spans="1:6" x14ac:dyDescent="0.3">
      <c r="A88" t="s">
        <v>89</v>
      </c>
      <c r="B88">
        <f t="shared" si="4"/>
        <v>160</v>
      </c>
      <c r="C88">
        <f t="shared" si="5"/>
        <v>3.5000000000000032E-4</v>
      </c>
      <c r="D88">
        <v>0.89700000000000002</v>
      </c>
      <c r="E88" s="1">
        <f t="shared" si="6"/>
        <v>0.47847222222222224</v>
      </c>
      <c r="F88" s="3">
        <v>46168</v>
      </c>
    </row>
    <row r="89" spans="1:6" x14ac:dyDescent="0.3">
      <c r="A89" t="s">
        <v>90</v>
      </c>
      <c r="B89">
        <f t="shared" si="4"/>
        <v>160</v>
      </c>
      <c r="C89">
        <f t="shared" si="5"/>
        <v>7.4000000000000736E-4</v>
      </c>
      <c r="D89">
        <v>2.8302</v>
      </c>
      <c r="E89" s="1">
        <f t="shared" si="6"/>
        <v>0.47916666666666669</v>
      </c>
      <c r="F89" s="3">
        <v>46168</v>
      </c>
    </row>
    <row r="90" spans="1:6" x14ac:dyDescent="0.3">
      <c r="A90" t="s">
        <v>91</v>
      </c>
      <c r="B90">
        <f t="shared" si="4"/>
        <v>160</v>
      </c>
      <c r="C90">
        <f t="shared" si="5"/>
        <v>5.3499999999999663E-4</v>
      </c>
      <c r="D90">
        <v>1.5056</v>
      </c>
      <c r="E90" s="1">
        <f t="shared" si="6"/>
        <v>0.47986111111111113</v>
      </c>
      <c r="F90" s="3">
        <v>46168</v>
      </c>
    </row>
    <row r="91" spans="1:6" x14ac:dyDescent="0.3">
      <c r="A91" t="s">
        <v>92</v>
      </c>
      <c r="B91">
        <f t="shared" si="4"/>
        <v>160</v>
      </c>
      <c r="C91">
        <f t="shared" si="5"/>
        <v>1.1550000000000061E-3</v>
      </c>
      <c r="D91">
        <v>1.8436999999999999</v>
      </c>
      <c r="E91" s="1">
        <f t="shared" si="6"/>
        <v>0.48125000000000001</v>
      </c>
      <c r="F91" s="3">
        <v>46168</v>
      </c>
    </row>
    <row r="92" spans="1:6" x14ac:dyDescent="0.3">
      <c r="A92" t="s">
        <v>93</v>
      </c>
      <c r="B92">
        <f t="shared" si="4"/>
        <v>180</v>
      </c>
      <c r="C92">
        <f t="shared" si="5"/>
        <v>1.0499999999999954E-3</v>
      </c>
      <c r="D92">
        <v>2.5945</v>
      </c>
      <c r="E92" s="1">
        <f t="shared" si="6"/>
        <v>0.48819444444444449</v>
      </c>
      <c r="F92" s="3">
        <v>46168</v>
      </c>
    </row>
    <row r="93" spans="1:6" x14ac:dyDescent="0.3">
      <c r="A93" t="s">
        <v>94</v>
      </c>
      <c r="B93">
        <f t="shared" si="4"/>
        <v>180</v>
      </c>
      <c r="C93">
        <f t="shared" si="5"/>
        <v>4.9500000000000097E-4</v>
      </c>
      <c r="D93">
        <v>1.7003999999999999</v>
      </c>
      <c r="E93" s="1">
        <f t="shared" si="6"/>
        <v>0.48888888888888893</v>
      </c>
      <c r="F93" s="3">
        <v>46168</v>
      </c>
    </row>
    <row r="94" spans="1:6" x14ac:dyDescent="0.3">
      <c r="A94" t="s">
        <v>95</v>
      </c>
      <c r="B94">
        <f t="shared" si="4"/>
        <v>180</v>
      </c>
      <c r="C94">
        <f t="shared" si="5"/>
        <v>6.1500000000000996E-4</v>
      </c>
      <c r="D94">
        <v>2.8372999999999999</v>
      </c>
      <c r="E94" s="1">
        <f t="shared" si="6"/>
        <v>0.49027777777777781</v>
      </c>
      <c r="F94" s="3">
        <v>46168</v>
      </c>
    </row>
    <row r="95" spans="1:6" x14ac:dyDescent="0.3">
      <c r="A95" t="s">
        <v>87</v>
      </c>
      <c r="B95">
        <f t="shared" si="4"/>
        <v>180</v>
      </c>
      <c r="C95">
        <f t="shared" si="5"/>
        <v>8.3000000000000847E-4</v>
      </c>
      <c r="D95">
        <v>1.4263999999999999</v>
      </c>
      <c r="E95" s="1">
        <f t="shared" si="6"/>
        <v>0.49097222222222225</v>
      </c>
      <c r="F95" s="3">
        <v>46168</v>
      </c>
    </row>
    <row r="96" spans="1:6" x14ac:dyDescent="0.3">
      <c r="A96" t="s">
        <v>88</v>
      </c>
      <c r="B96">
        <f t="shared" si="4"/>
        <v>180</v>
      </c>
      <c r="C96">
        <f t="shared" si="5"/>
        <v>5.5500000000000547E-4</v>
      </c>
      <c r="D96">
        <v>1.3050999999999999</v>
      </c>
      <c r="E96" s="1">
        <f t="shared" si="6"/>
        <v>0.4916666666666667</v>
      </c>
      <c r="F96" s="3">
        <v>46168</v>
      </c>
    </row>
    <row r="97" spans="1:6" x14ac:dyDescent="0.3">
      <c r="A97" t="s">
        <v>89</v>
      </c>
      <c r="B97">
        <f t="shared" si="4"/>
        <v>180</v>
      </c>
      <c r="C97">
        <f t="shared" si="5"/>
        <v>4.0000000000000034E-4</v>
      </c>
      <c r="D97">
        <v>0.88900000000000001</v>
      </c>
      <c r="E97" s="1">
        <f t="shared" si="6"/>
        <v>0.49236111111111114</v>
      </c>
      <c r="F97" s="3">
        <v>46168</v>
      </c>
    </row>
    <row r="98" spans="1:6" x14ac:dyDescent="0.3">
      <c r="A98" t="s">
        <v>90</v>
      </c>
      <c r="B98">
        <f t="shared" si="4"/>
        <v>180</v>
      </c>
      <c r="C98">
        <f t="shared" si="5"/>
        <v>8.1999999999999846E-4</v>
      </c>
      <c r="D98">
        <v>2.8138000000000001</v>
      </c>
      <c r="E98" s="1">
        <f t="shared" si="6"/>
        <v>0.49305555555555558</v>
      </c>
      <c r="F98" s="3">
        <v>46168</v>
      </c>
    </row>
    <row r="99" spans="1:6" x14ac:dyDescent="0.3">
      <c r="A99" t="s">
        <v>91</v>
      </c>
      <c r="B99">
        <f t="shared" si="4"/>
        <v>180</v>
      </c>
      <c r="C99">
        <f t="shared" si="5"/>
        <v>5.9000000000000166E-4</v>
      </c>
      <c r="D99">
        <v>1.4938</v>
      </c>
      <c r="E99" s="1">
        <f t="shared" si="6"/>
        <v>0.49375000000000002</v>
      </c>
      <c r="F99" s="3">
        <v>46168</v>
      </c>
    </row>
    <row r="100" spans="1:6" x14ac:dyDescent="0.3">
      <c r="A100" t="s">
        <v>92</v>
      </c>
      <c r="B100">
        <f t="shared" si="4"/>
        <v>180</v>
      </c>
      <c r="C100">
        <f t="shared" si="5"/>
        <v>1.0249999999999981E-3</v>
      </c>
      <c r="D100">
        <v>1.8231999999999999</v>
      </c>
      <c r="E100" s="1">
        <f t="shared" si="6"/>
        <v>0.49513888888888891</v>
      </c>
      <c r="F100" s="3">
        <v>46168</v>
      </c>
    </row>
    <row r="101" spans="1:6" x14ac:dyDescent="0.3">
      <c r="A101" t="s">
        <v>93</v>
      </c>
      <c r="B101">
        <f t="shared" si="4"/>
        <v>200</v>
      </c>
      <c r="C101">
        <f t="shared" si="5"/>
        <v>1.1400000000000078E-3</v>
      </c>
      <c r="D101">
        <v>2.5716999999999999</v>
      </c>
      <c r="E101" s="1">
        <f t="shared" si="6"/>
        <v>0.50208333333333333</v>
      </c>
      <c r="F101" s="3">
        <v>46168</v>
      </c>
    </row>
    <row r="102" spans="1:6" x14ac:dyDescent="0.3">
      <c r="A102" t="s">
        <v>94</v>
      </c>
      <c r="B102">
        <f t="shared" si="4"/>
        <v>200</v>
      </c>
      <c r="C102">
        <f t="shared" si="5"/>
        <v>5.6999999999999271E-4</v>
      </c>
      <c r="D102">
        <v>1.6890000000000001</v>
      </c>
      <c r="E102" s="1">
        <f t="shared" si="6"/>
        <v>0.50277777777777777</v>
      </c>
      <c r="F102" s="3">
        <v>46168</v>
      </c>
    </row>
    <row r="103" spans="1:6" x14ac:dyDescent="0.3">
      <c r="A103" t="s">
        <v>95</v>
      </c>
      <c r="B103">
        <f t="shared" si="4"/>
        <v>200</v>
      </c>
      <c r="C103">
        <f t="shared" si="5"/>
        <v>6.9999999999998948E-4</v>
      </c>
      <c r="D103">
        <v>2.8233000000000001</v>
      </c>
      <c r="E103" s="1">
        <f t="shared" si="6"/>
        <v>0.50416666666666665</v>
      </c>
      <c r="F103" s="3">
        <v>46168</v>
      </c>
    </row>
    <row r="104" spans="1:6" x14ac:dyDescent="0.3">
      <c r="A104" t="s">
        <v>87</v>
      </c>
      <c r="B104">
        <f t="shared" si="4"/>
        <v>200</v>
      </c>
      <c r="C104">
        <f t="shared" si="5"/>
        <v>8.0999999999999963E-4</v>
      </c>
      <c r="D104">
        <v>1.4101999999999999</v>
      </c>
      <c r="E104" s="1">
        <f t="shared" si="6"/>
        <v>0.50486111111111109</v>
      </c>
      <c r="F104" s="3">
        <v>46168</v>
      </c>
    </row>
    <row r="105" spans="1:6" x14ac:dyDescent="0.3">
      <c r="A105" t="s">
        <v>88</v>
      </c>
      <c r="B105">
        <f t="shared" si="4"/>
        <v>200</v>
      </c>
      <c r="C105">
        <f t="shared" si="5"/>
        <v>5.39999999999996E-4</v>
      </c>
      <c r="D105">
        <v>1.2943</v>
      </c>
      <c r="E105" s="1">
        <f t="shared" si="6"/>
        <v>0.50555555555555554</v>
      </c>
      <c r="F105" s="3">
        <v>46168</v>
      </c>
    </row>
    <row r="106" spans="1:6" x14ac:dyDescent="0.3">
      <c r="A106" t="s">
        <v>89</v>
      </c>
      <c r="B106">
        <f t="shared" si="4"/>
        <v>200</v>
      </c>
      <c r="C106">
        <f t="shared" si="5"/>
        <v>3.149999999999986E-4</v>
      </c>
      <c r="D106">
        <v>0.88270000000000004</v>
      </c>
      <c r="E106" s="1">
        <f t="shared" si="6"/>
        <v>0.50624999999999998</v>
      </c>
      <c r="F106" s="3">
        <v>46168</v>
      </c>
    </row>
    <row r="107" spans="1:6" x14ac:dyDescent="0.3">
      <c r="A107" t="s">
        <v>90</v>
      </c>
      <c r="B107">
        <f t="shared" si="4"/>
        <v>200</v>
      </c>
      <c r="C107">
        <f t="shared" si="5"/>
        <v>7.6000000000000514E-4</v>
      </c>
      <c r="D107">
        <v>2.7986</v>
      </c>
      <c r="E107" s="1">
        <f t="shared" si="6"/>
        <v>0.50694444444444442</v>
      </c>
      <c r="F107" s="3">
        <v>46168</v>
      </c>
    </row>
    <row r="108" spans="1:6" x14ac:dyDescent="0.3">
      <c r="A108" t="s">
        <v>91</v>
      </c>
      <c r="B108">
        <f t="shared" si="4"/>
        <v>200</v>
      </c>
      <c r="C108">
        <f t="shared" si="5"/>
        <v>5.6000000000000494E-4</v>
      </c>
      <c r="D108">
        <v>1.4825999999999999</v>
      </c>
      <c r="E108" s="1">
        <f t="shared" si="6"/>
        <v>0.50763888888888886</v>
      </c>
      <c r="F108" s="3">
        <v>46168</v>
      </c>
    </row>
    <row r="109" spans="1:6" x14ac:dyDescent="0.3">
      <c r="A109" t="s">
        <v>92</v>
      </c>
      <c r="B109">
        <f t="shared" si="4"/>
        <v>200</v>
      </c>
      <c r="C109">
        <f t="shared" si="5"/>
        <v>1.0599999999999943E-3</v>
      </c>
      <c r="D109">
        <v>1.802</v>
      </c>
      <c r="E109" s="1">
        <f t="shared" si="6"/>
        <v>0.50902777777777775</v>
      </c>
      <c r="F109" s="3">
        <v>46168</v>
      </c>
    </row>
    <row r="110" spans="1:6" x14ac:dyDescent="0.3">
      <c r="A110" t="s">
        <v>93</v>
      </c>
      <c r="B110">
        <f t="shared" si="4"/>
        <v>220</v>
      </c>
      <c r="C110">
        <f t="shared" si="5"/>
        <v>1.1449999999999961E-3</v>
      </c>
      <c r="D110">
        <v>2.5488</v>
      </c>
      <c r="E110" s="1">
        <f t="shared" si="6"/>
        <v>0.51597222222222217</v>
      </c>
      <c r="F110" s="3">
        <v>46168</v>
      </c>
    </row>
    <row r="111" spans="1:6" x14ac:dyDescent="0.3">
      <c r="A111" t="s">
        <v>94</v>
      </c>
      <c r="B111">
        <f t="shared" si="4"/>
        <v>220</v>
      </c>
      <c r="C111">
        <f t="shared" si="5"/>
        <v>5.7000000000000388E-4</v>
      </c>
      <c r="D111">
        <v>1.6776</v>
      </c>
      <c r="E111" s="1">
        <f t="shared" si="6"/>
        <v>0.51666666666666661</v>
      </c>
      <c r="F111" s="3">
        <v>46168</v>
      </c>
    </row>
    <row r="112" spans="1:6" x14ac:dyDescent="0.3">
      <c r="A112" t="s">
        <v>95</v>
      </c>
      <c r="B112">
        <f t="shared" si="4"/>
        <v>220</v>
      </c>
      <c r="C112">
        <f t="shared" si="5"/>
        <v>6.6500000000000445E-4</v>
      </c>
      <c r="D112">
        <v>2.81</v>
      </c>
      <c r="E112" s="1">
        <f t="shared" si="6"/>
        <v>0.51805555555555549</v>
      </c>
      <c r="F112" s="3">
        <v>46168</v>
      </c>
    </row>
    <row r="113" spans="1:6" x14ac:dyDescent="0.3">
      <c r="A113" t="s">
        <v>87</v>
      </c>
      <c r="B113">
        <f t="shared" si="4"/>
        <v>220</v>
      </c>
      <c r="C113">
        <f t="shared" si="5"/>
        <v>8.2999999999999741E-4</v>
      </c>
      <c r="D113">
        <v>1.3935999999999999</v>
      </c>
      <c r="E113" s="1">
        <f t="shared" si="6"/>
        <v>0.51874999999999993</v>
      </c>
      <c r="F113" s="3">
        <v>46168</v>
      </c>
    </row>
    <row r="114" spans="1:6" x14ac:dyDescent="0.3">
      <c r="A114" t="s">
        <v>88</v>
      </c>
      <c r="B114">
        <f t="shared" si="4"/>
        <v>220</v>
      </c>
      <c r="C114">
        <f t="shared" si="5"/>
        <v>5.0000000000000044E-4</v>
      </c>
      <c r="D114">
        <v>1.2843</v>
      </c>
      <c r="E114" s="1">
        <f t="shared" si="6"/>
        <v>0.51944444444444438</v>
      </c>
      <c r="F114" s="3">
        <v>46168</v>
      </c>
    </row>
    <row r="115" spans="1:6" x14ac:dyDescent="0.3">
      <c r="A115" t="s">
        <v>89</v>
      </c>
      <c r="B115">
        <f t="shared" si="4"/>
        <v>220</v>
      </c>
      <c r="C115">
        <f t="shared" si="5"/>
        <v>3.750000000000031E-4</v>
      </c>
      <c r="D115">
        <v>0.87519999999999998</v>
      </c>
      <c r="E115" s="1">
        <f t="shared" si="6"/>
        <v>0.52013888888888882</v>
      </c>
      <c r="F115" s="3">
        <v>46168</v>
      </c>
    </row>
    <row r="116" spans="1:6" x14ac:dyDescent="0.3">
      <c r="A116" t="s">
        <v>90</v>
      </c>
      <c r="B116">
        <f t="shared" si="4"/>
        <v>220</v>
      </c>
      <c r="C116">
        <f t="shared" si="5"/>
        <v>7.9000000000000186E-4</v>
      </c>
      <c r="D116">
        <v>2.7827999999999999</v>
      </c>
      <c r="E116" s="1">
        <f t="shared" si="6"/>
        <v>0.52083333333333326</v>
      </c>
      <c r="F116" s="3">
        <v>46168</v>
      </c>
    </row>
    <row r="117" spans="1:6" x14ac:dyDescent="0.3">
      <c r="A117" t="s">
        <v>91</v>
      </c>
      <c r="B117">
        <f t="shared" si="4"/>
        <v>220</v>
      </c>
      <c r="C117">
        <f t="shared" si="5"/>
        <v>5.0000000000000044E-4</v>
      </c>
      <c r="D117">
        <v>1.4725999999999999</v>
      </c>
      <c r="E117" s="1">
        <f t="shared" si="6"/>
        <v>0.5215277777777777</v>
      </c>
      <c r="F117" s="3">
        <v>46168</v>
      </c>
    </row>
    <row r="118" spans="1:6" x14ac:dyDescent="0.3">
      <c r="A118" t="s">
        <v>92</v>
      </c>
      <c r="B118">
        <f t="shared" si="4"/>
        <v>220</v>
      </c>
      <c r="C118">
        <f t="shared" si="5"/>
        <v>1.0600000000000054E-3</v>
      </c>
      <c r="D118">
        <v>1.7807999999999999</v>
      </c>
      <c r="E118" s="1">
        <f t="shared" si="6"/>
        <v>0.52291666666666659</v>
      </c>
      <c r="F118" s="3">
        <v>46168</v>
      </c>
    </row>
    <row r="119" spans="1:6" x14ac:dyDescent="0.3">
      <c r="A119" t="s">
        <v>93</v>
      </c>
      <c r="B119">
        <f t="shared" si="4"/>
        <v>240</v>
      </c>
      <c r="C119">
        <f t="shared" si="5"/>
        <v>1.1749999999999927E-3</v>
      </c>
      <c r="D119">
        <v>2.5253000000000001</v>
      </c>
      <c r="E119" s="1">
        <f t="shared" si="6"/>
        <v>0.52986111111111101</v>
      </c>
      <c r="F119" s="3">
        <v>46168</v>
      </c>
    </row>
    <row r="120" spans="1:6" x14ac:dyDescent="0.3">
      <c r="A120" t="s">
        <v>94</v>
      </c>
      <c r="B120">
        <f t="shared" si="4"/>
        <v>240</v>
      </c>
      <c r="C120">
        <f t="shared" si="5"/>
        <v>5.5499999999999441E-4</v>
      </c>
      <c r="D120">
        <v>1.6665000000000001</v>
      </c>
      <c r="E120" s="1">
        <f t="shared" si="6"/>
        <v>0.53055555555555545</v>
      </c>
      <c r="F120" s="3">
        <v>46168</v>
      </c>
    </row>
    <row r="121" spans="1:6" x14ac:dyDescent="0.3">
      <c r="A121" t="s">
        <v>95</v>
      </c>
      <c r="B121">
        <f t="shared" si="4"/>
        <v>240</v>
      </c>
      <c r="C121">
        <f t="shared" si="5"/>
        <v>6.2999999999999721E-4</v>
      </c>
      <c r="D121">
        <v>2.7974000000000001</v>
      </c>
      <c r="E121" s="1">
        <f t="shared" si="6"/>
        <v>0.53194444444444433</v>
      </c>
      <c r="F121" s="3">
        <v>46168</v>
      </c>
    </row>
    <row r="122" spans="1:6" x14ac:dyDescent="0.3">
      <c r="A122" t="s">
        <v>87</v>
      </c>
      <c r="B122">
        <f t="shared" si="4"/>
        <v>240</v>
      </c>
      <c r="C122">
        <f t="shared" si="5"/>
        <v>7.9000000000000186E-4</v>
      </c>
      <c r="D122">
        <v>1.3777999999999999</v>
      </c>
      <c r="E122" s="1">
        <f t="shared" si="6"/>
        <v>0.53263888888888877</v>
      </c>
      <c r="F122" s="3">
        <v>46168</v>
      </c>
    </row>
    <row r="123" spans="1:6" x14ac:dyDescent="0.3">
      <c r="A123" t="s">
        <v>88</v>
      </c>
      <c r="B123">
        <f t="shared" si="4"/>
        <v>240</v>
      </c>
      <c r="C123">
        <f t="shared" si="5"/>
        <v>5.39999999999996E-4</v>
      </c>
      <c r="D123">
        <v>1.2735000000000001</v>
      </c>
      <c r="E123" s="1">
        <f t="shared" si="6"/>
        <v>0.53333333333333321</v>
      </c>
      <c r="F123" s="3">
        <v>46168</v>
      </c>
    </row>
    <row r="124" spans="1:6" x14ac:dyDescent="0.3">
      <c r="A124" t="s">
        <v>89</v>
      </c>
      <c r="B124">
        <f t="shared" si="4"/>
        <v>240</v>
      </c>
      <c r="C124">
        <f t="shared" si="5"/>
        <v>3.4500000000000085E-4</v>
      </c>
      <c r="D124">
        <v>0.86829999999999996</v>
      </c>
      <c r="E124" s="1">
        <f t="shared" si="6"/>
        <v>0.53402777777777766</v>
      </c>
      <c r="F124" s="3">
        <v>46168</v>
      </c>
    </row>
    <row r="125" spans="1:6" x14ac:dyDescent="0.3">
      <c r="A125" t="s">
        <v>90</v>
      </c>
      <c r="B125">
        <f t="shared" si="4"/>
        <v>240</v>
      </c>
      <c r="C125">
        <f t="shared" si="5"/>
        <v>7.8499999999999122E-4</v>
      </c>
      <c r="D125">
        <v>2.7671000000000001</v>
      </c>
      <c r="E125" s="1">
        <f t="shared" si="6"/>
        <v>0.5347222222222221</v>
      </c>
      <c r="F125" s="3">
        <v>46168</v>
      </c>
    </row>
    <row r="126" spans="1:6" x14ac:dyDescent="0.3">
      <c r="A126" t="s">
        <v>91</v>
      </c>
      <c r="B126">
        <f t="shared" si="4"/>
        <v>240</v>
      </c>
      <c r="C126">
        <f t="shared" si="5"/>
        <v>5.8999999999999049E-4</v>
      </c>
      <c r="D126">
        <v>1.4608000000000001</v>
      </c>
      <c r="E126" s="1">
        <f t="shared" si="6"/>
        <v>0.53541666666666654</v>
      </c>
      <c r="F126" s="3">
        <v>46168</v>
      </c>
    </row>
    <row r="127" spans="1:6" x14ac:dyDescent="0.3">
      <c r="A127" t="s">
        <v>92</v>
      </c>
      <c r="B127">
        <f t="shared" si="4"/>
        <v>240</v>
      </c>
      <c r="C127">
        <f t="shared" si="5"/>
        <v>1.0599999999999943E-3</v>
      </c>
      <c r="D127">
        <v>1.7596000000000001</v>
      </c>
      <c r="E127" s="1">
        <f t="shared" si="6"/>
        <v>0.53680555555555542</v>
      </c>
      <c r="F127" s="3">
        <v>46168</v>
      </c>
    </row>
    <row r="128" spans="1:6" x14ac:dyDescent="0.3">
      <c r="A128" t="s">
        <v>93</v>
      </c>
      <c r="B128">
        <f t="shared" si="4"/>
        <v>260</v>
      </c>
      <c r="C128">
        <f t="shared" si="5"/>
        <v>1.1700000000000044E-3</v>
      </c>
      <c r="D128">
        <v>2.5019</v>
      </c>
      <c r="E128" s="1">
        <f t="shared" si="6"/>
        <v>0.54374999999999984</v>
      </c>
      <c r="F128" s="3">
        <v>46168</v>
      </c>
    </row>
    <row r="129" spans="1:6" x14ac:dyDescent="0.3">
      <c r="A129" t="s">
        <v>94</v>
      </c>
      <c r="B129">
        <f t="shared" si="4"/>
        <v>260</v>
      </c>
      <c r="C129">
        <f t="shared" si="5"/>
        <v>5.1500000000000992E-4</v>
      </c>
      <c r="D129">
        <v>1.6561999999999999</v>
      </c>
      <c r="E129" s="1">
        <f t="shared" si="6"/>
        <v>0.54444444444444429</v>
      </c>
      <c r="F129" s="3">
        <v>46168</v>
      </c>
    </row>
    <row r="130" spans="1:6" x14ac:dyDescent="0.3">
      <c r="A130" t="s">
        <v>95</v>
      </c>
      <c r="B130">
        <f t="shared" si="4"/>
        <v>260</v>
      </c>
      <c r="C130">
        <f t="shared" si="5"/>
        <v>6.1999999999999837E-4</v>
      </c>
      <c r="D130">
        <v>2.7850000000000001</v>
      </c>
      <c r="E130" s="1">
        <f t="shared" si="6"/>
        <v>0.54583333333333317</v>
      </c>
      <c r="F130" s="3">
        <v>46168</v>
      </c>
    </row>
    <row r="131" spans="1:6" x14ac:dyDescent="0.3">
      <c r="A131" t="s">
        <v>87</v>
      </c>
      <c r="B131">
        <f t="shared" si="4"/>
        <v>260</v>
      </c>
      <c r="C131">
        <f t="shared" si="5"/>
        <v>7.5999999999999397E-4</v>
      </c>
      <c r="D131">
        <v>1.3626</v>
      </c>
      <c r="E131" s="1">
        <f t="shared" si="6"/>
        <v>0.54652777777777761</v>
      </c>
      <c r="F131" s="3">
        <v>46168</v>
      </c>
    </row>
    <row r="132" spans="1:6" x14ac:dyDescent="0.3">
      <c r="A132" t="s">
        <v>88</v>
      </c>
      <c r="B132">
        <f t="shared" si="4"/>
        <v>260</v>
      </c>
      <c r="C132">
        <f t="shared" si="5"/>
        <v>5.4500000000000663E-4</v>
      </c>
      <c r="D132">
        <v>1.2625999999999999</v>
      </c>
      <c r="E132" s="1">
        <f t="shared" si="6"/>
        <v>0.54722222222222205</v>
      </c>
      <c r="F132" s="3">
        <v>46168</v>
      </c>
    </row>
    <row r="133" spans="1:6" x14ac:dyDescent="0.3">
      <c r="A133" t="s">
        <v>89</v>
      </c>
      <c r="B133">
        <f t="shared" si="4"/>
        <v>260</v>
      </c>
      <c r="C133">
        <f t="shared" si="5"/>
        <v>3.699999999999981E-4</v>
      </c>
      <c r="D133">
        <v>0.8609</v>
      </c>
      <c r="E133" s="1">
        <f t="shared" si="6"/>
        <v>0.5479166666666665</v>
      </c>
      <c r="F133" s="3">
        <v>46168</v>
      </c>
    </row>
    <row r="134" spans="1:6" x14ac:dyDescent="0.3">
      <c r="A134" t="s">
        <v>90</v>
      </c>
      <c r="B134">
        <f t="shared" si="4"/>
        <v>260</v>
      </c>
      <c r="C134">
        <f t="shared" si="5"/>
        <v>7.7500000000001461E-4</v>
      </c>
      <c r="D134">
        <v>2.7515999999999998</v>
      </c>
      <c r="E134" s="1">
        <f t="shared" si="6"/>
        <v>0.54861111111111094</v>
      </c>
      <c r="F134" s="3">
        <v>46168</v>
      </c>
    </row>
    <row r="135" spans="1:6" x14ac:dyDescent="0.3">
      <c r="A135" t="s">
        <v>91</v>
      </c>
      <c r="B135">
        <f t="shared" si="4"/>
        <v>260</v>
      </c>
      <c r="C135">
        <f t="shared" si="5"/>
        <v>5.7000000000000388E-4</v>
      </c>
      <c r="D135">
        <v>1.4494</v>
      </c>
      <c r="E135" s="1">
        <f t="shared" si="6"/>
        <v>0.54930555555555538</v>
      </c>
      <c r="F135" s="3">
        <v>46168</v>
      </c>
    </row>
    <row r="136" spans="1:6" x14ac:dyDescent="0.3">
      <c r="A136" t="s">
        <v>92</v>
      </c>
      <c r="B136">
        <f t="shared" si="4"/>
        <v>260</v>
      </c>
      <c r="C136">
        <f t="shared" si="5"/>
        <v>9.7500000000000364E-4</v>
      </c>
      <c r="D136">
        <v>1.7401</v>
      </c>
      <c r="E136" s="1">
        <f t="shared" si="6"/>
        <v>0.55069444444444426</v>
      </c>
      <c r="F136" s="3">
        <v>46168</v>
      </c>
    </row>
    <row r="137" spans="1:6" x14ac:dyDescent="0.3">
      <c r="E137" s="1"/>
    </row>
    <row r="138" spans="1:6" x14ac:dyDescent="0.3">
      <c r="E138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85320-9644-4713-B67A-315EB46421E6}">
  <dimension ref="A1:F146"/>
  <sheetViews>
    <sheetView topLeftCell="A132" workbookViewId="0">
      <selection activeCell="I147" sqref="I147"/>
    </sheetView>
  </sheetViews>
  <sheetFormatPr baseColWidth="10" defaultRowHeight="14.4" x14ac:dyDescent="0.3"/>
  <cols>
    <col min="5" max="5" width="19" bestFit="1" customWidth="1"/>
  </cols>
  <sheetData>
    <row r="1" spans="1:6" x14ac:dyDescent="0.3">
      <c r="A1" t="s">
        <v>0</v>
      </c>
      <c r="B1" t="s">
        <v>56</v>
      </c>
      <c r="C1" t="s">
        <v>129</v>
      </c>
      <c r="D1" t="s">
        <v>48</v>
      </c>
      <c r="E1" t="s">
        <v>8</v>
      </c>
      <c r="F1" t="s">
        <v>20</v>
      </c>
    </row>
    <row r="2" spans="1:6" x14ac:dyDescent="0.3">
      <c r="A2" t="s">
        <v>121</v>
      </c>
      <c r="D2">
        <v>1.9244000000000001</v>
      </c>
      <c r="E2" s="1">
        <v>0.3840277777777778</v>
      </c>
      <c r="F2" s="3">
        <v>46175</v>
      </c>
    </row>
    <row r="3" spans="1:6" x14ac:dyDescent="0.3">
      <c r="A3" t="s">
        <v>122</v>
      </c>
      <c r="D3">
        <v>3.6764000000000001</v>
      </c>
      <c r="E3" s="1">
        <v>0.38541666666666669</v>
      </c>
      <c r="F3" s="3">
        <v>46175</v>
      </c>
    </row>
    <row r="4" spans="1:6" x14ac:dyDescent="0.3">
      <c r="A4" t="s">
        <v>123</v>
      </c>
      <c r="D4">
        <v>3.1789999999999998</v>
      </c>
      <c r="E4" s="1">
        <v>0.38611111111111113</v>
      </c>
      <c r="F4" s="3">
        <v>46175</v>
      </c>
    </row>
    <row r="5" spans="1:6" x14ac:dyDescent="0.3">
      <c r="A5" t="s">
        <v>124</v>
      </c>
      <c r="D5">
        <v>3.6114999999999999</v>
      </c>
      <c r="E5" s="1">
        <v>0.38750000000000001</v>
      </c>
      <c r="F5" s="3">
        <v>46175</v>
      </c>
    </row>
    <row r="6" spans="1:6" x14ac:dyDescent="0.3">
      <c r="A6" t="s">
        <v>125</v>
      </c>
      <c r="D6">
        <v>3.1312000000000002</v>
      </c>
      <c r="E6" s="1">
        <v>0.38819444444444445</v>
      </c>
      <c r="F6" s="3">
        <v>46175</v>
      </c>
    </row>
    <row r="7" spans="1:6" x14ac:dyDescent="0.3">
      <c r="A7" t="s">
        <v>126</v>
      </c>
      <c r="D7">
        <v>2.3218000000000001</v>
      </c>
      <c r="E7" s="1">
        <v>0.3888888888888889</v>
      </c>
      <c r="F7" s="3">
        <v>46175</v>
      </c>
    </row>
    <row r="8" spans="1:6" x14ac:dyDescent="0.3">
      <c r="A8" t="s">
        <v>98</v>
      </c>
      <c r="D8">
        <v>1.2523</v>
      </c>
      <c r="E8" s="1">
        <v>0.38958333333333334</v>
      </c>
      <c r="F8" s="3">
        <v>46175</v>
      </c>
    </row>
    <row r="9" spans="1:6" x14ac:dyDescent="0.3">
      <c r="A9" t="s">
        <v>127</v>
      </c>
      <c r="D9">
        <v>2.2498</v>
      </c>
      <c r="E9" s="1">
        <v>0.39027777777777778</v>
      </c>
      <c r="F9" s="3">
        <v>46175</v>
      </c>
    </row>
    <row r="10" spans="1:6" x14ac:dyDescent="0.3">
      <c r="A10" t="s">
        <v>128</v>
      </c>
      <c r="D10">
        <v>1.4661</v>
      </c>
      <c r="E10" s="1">
        <v>0.39097222222222222</v>
      </c>
      <c r="F10" s="3">
        <v>46175</v>
      </c>
    </row>
    <row r="11" spans="1:6" x14ac:dyDescent="0.3">
      <c r="A11" t="s">
        <v>121</v>
      </c>
      <c r="B11">
        <v>0</v>
      </c>
      <c r="C11">
        <v>0</v>
      </c>
      <c r="D11">
        <v>1.9067000000000001</v>
      </c>
      <c r="E11" s="1">
        <f>E2+12/1440</f>
        <v>0.39236111111111116</v>
      </c>
      <c r="F11" s="3">
        <v>46175</v>
      </c>
    </row>
    <row r="12" spans="1:6" x14ac:dyDescent="0.3">
      <c r="A12" t="s">
        <v>122</v>
      </c>
      <c r="B12">
        <v>0</v>
      </c>
      <c r="C12">
        <v>0</v>
      </c>
      <c r="D12">
        <v>3.6524999999999999</v>
      </c>
      <c r="E12" s="1">
        <f t="shared" ref="E12:E19" si="0">E3+12/1440</f>
        <v>0.39375000000000004</v>
      </c>
      <c r="F12" s="3">
        <v>46175</v>
      </c>
    </row>
    <row r="13" spans="1:6" x14ac:dyDescent="0.3">
      <c r="A13" t="s">
        <v>123</v>
      </c>
      <c r="B13">
        <v>0</v>
      </c>
      <c r="C13">
        <v>0</v>
      </c>
      <c r="D13">
        <v>3.1682999999999999</v>
      </c>
      <c r="E13" s="1">
        <f t="shared" si="0"/>
        <v>0.39444444444444449</v>
      </c>
      <c r="F13" s="3">
        <v>46175</v>
      </c>
    </row>
    <row r="14" spans="1:6" x14ac:dyDescent="0.3">
      <c r="A14" t="s">
        <v>124</v>
      </c>
      <c r="B14">
        <v>0</v>
      </c>
      <c r="C14">
        <v>0</v>
      </c>
      <c r="D14">
        <v>3.5981000000000001</v>
      </c>
      <c r="E14" s="1">
        <f t="shared" si="0"/>
        <v>0.39583333333333337</v>
      </c>
      <c r="F14" s="3">
        <v>46175</v>
      </c>
    </row>
    <row r="15" spans="1:6" x14ac:dyDescent="0.3">
      <c r="A15" t="s">
        <v>125</v>
      </c>
      <c r="B15">
        <v>0</v>
      </c>
      <c r="C15">
        <v>0</v>
      </c>
      <c r="D15">
        <v>3.1215000000000002</v>
      </c>
      <c r="E15" s="1">
        <f t="shared" si="0"/>
        <v>0.39652777777777781</v>
      </c>
      <c r="F15" s="3">
        <v>46175</v>
      </c>
    </row>
    <row r="16" spans="1:6" x14ac:dyDescent="0.3">
      <c r="A16" t="s">
        <v>126</v>
      </c>
      <c r="B16">
        <v>0</v>
      </c>
      <c r="C16">
        <v>0</v>
      </c>
      <c r="D16">
        <v>2.3109000000000002</v>
      </c>
      <c r="E16" s="1">
        <f t="shared" si="0"/>
        <v>0.39722222222222225</v>
      </c>
      <c r="F16" s="3">
        <v>46175</v>
      </c>
    </row>
    <row r="17" spans="1:6" x14ac:dyDescent="0.3">
      <c r="A17" t="s">
        <v>98</v>
      </c>
      <c r="B17">
        <v>0</v>
      </c>
      <c r="C17">
        <v>0</v>
      </c>
      <c r="D17">
        <v>1.2423</v>
      </c>
      <c r="E17" s="1">
        <f t="shared" si="0"/>
        <v>0.3979166666666667</v>
      </c>
      <c r="F17" s="3">
        <v>46175</v>
      </c>
    </row>
    <row r="18" spans="1:6" x14ac:dyDescent="0.3">
      <c r="A18" t="s">
        <v>127</v>
      </c>
      <c r="B18">
        <v>0</v>
      </c>
      <c r="C18">
        <v>0</v>
      </c>
      <c r="D18">
        <v>2.2372000000000001</v>
      </c>
      <c r="E18" s="1">
        <f t="shared" si="0"/>
        <v>0.39861111111111114</v>
      </c>
      <c r="F18" s="3">
        <v>46175</v>
      </c>
    </row>
    <row r="19" spans="1:6" x14ac:dyDescent="0.3">
      <c r="A19" t="s">
        <v>128</v>
      </c>
      <c r="B19">
        <v>0</v>
      </c>
      <c r="C19">
        <v>0</v>
      </c>
      <c r="D19">
        <v>1.4585999999999999</v>
      </c>
      <c r="E19" s="1">
        <f t="shared" si="0"/>
        <v>0.39930555555555558</v>
      </c>
      <c r="F19" s="3">
        <v>46175</v>
      </c>
    </row>
    <row r="20" spans="1:6" x14ac:dyDescent="0.3">
      <c r="A20" t="s">
        <v>121</v>
      </c>
      <c r="B20">
        <f>B11+20</f>
        <v>20</v>
      </c>
      <c r="C20">
        <f>(D11-D20)/20</f>
        <v>1.5550000000000065E-3</v>
      </c>
      <c r="D20">
        <v>1.8755999999999999</v>
      </c>
      <c r="E20" s="1">
        <f>E11+20/1440</f>
        <v>0.40625000000000006</v>
      </c>
      <c r="F20" s="3">
        <v>46175</v>
      </c>
    </row>
    <row r="21" spans="1:6" x14ac:dyDescent="0.3">
      <c r="A21" t="s">
        <v>122</v>
      </c>
      <c r="B21">
        <f t="shared" ref="B21:B84" si="1">B12+20</f>
        <v>20</v>
      </c>
      <c r="C21">
        <f t="shared" ref="C21:C84" si="2">(D12-D21)/20</f>
        <v>1.4599999999999947E-3</v>
      </c>
      <c r="D21">
        <v>3.6233</v>
      </c>
      <c r="E21" s="1">
        <f t="shared" ref="E21:E84" si="3">E12+20/1440</f>
        <v>0.40763888888888894</v>
      </c>
      <c r="F21" s="3">
        <v>46175</v>
      </c>
    </row>
    <row r="22" spans="1:6" x14ac:dyDescent="0.3">
      <c r="A22" t="s">
        <v>123</v>
      </c>
      <c r="B22">
        <f t="shared" si="1"/>
        <v>20</v>
      </c>
      <c r="C22">
        <f t="shared" si="2"/>
        <v>9.2999999999998639E-4</v>
      </c>
      <c r="D22">
        <v>3.1497000000000002</v>
      </c>
      <c r="E22" s="1">
        <f t="shared" si="3"/>
        <v>0.40833333333333338</v>
      </c>
      <c r="F22" s="3">
        <v>46175</v>
      </c>
    </row>
    <row r="23" spans="1:6" x14ac:dyDescent="0.3">
      <c r="A23" t="s">
        <v>124</v>
      </c>
      <c r="B23">
        <f t="shared" si="1"/>
        <v>20</v>
      </c>
      <c r="C23">
        <f t="shared" si="2"/>
        <v>1.200000000000001E-3</v>
      </c>
      <c r="D23">
        <v>3.5741000000000001</v>
      </c>
      <c r="E23" s="1">
        <f t="shared" si="3"/>
        <v>0.40972222222222227</v>
      </c>
      <c r="F23" s="3">
        <v>46175</v>
      </c>
    </row>
    <row r="24" spans="1:6" x14ac:dyDescent="0.3">
      <c r="A24" t="s">
        <v>125</v>
      </c>
      <c r="B24">
        <f t="shared" si="1"/>
        <v>20</v>
      </c>
      <c r="C24">
        <f t="shared" si="2"/>
        <v>6.5000000000001721E-4</v>
      </c>
      <c r="D24">
        <v>3.1084999999999998</v>
      </c>
      <c r="E24" s="1">
        <f t="shared" si="3"/>
        <v>0.41041666666666671</v>
      </c>
      <c r="F24" s="3">
        <v>46175</v>
      </c>
    </row>
    <row r="25" spans="1:6" x14ac:dyDescent="0.3">
      <c r="A25" t="s">
        <v>126</v>
      </c>
      <c r="B25">
        <f t="shared" si="1"/>
        <v>20</v>
      </c>
      <c r="C25">
        <f t="shared" si="2"/>
        <v>6.8000000000001393E-4</v>
      </c>
      <c r="D25">
        <v>2.2972999999999999</v>
      </c>
      <c r="E25" s="1">
        <f t="shared" si="3"/>
        <v>0.41111111111111115</v>
      </c>
      <c r="F25" s="3">
        <v>46175</v>
      </c>
    </row>
    <row r="26" spans="1:6" x14ac:dyDescent="0.3">
      <c r="A26" t="s">
        <v>98</v>
      </c>
      <c r="B26">
        <f t="shared" si="1"/>
        <v>20</v>
      </c>
      <c r="C26">
        <f t="shared" si="2"/>
        <v>8.7499999999999243E-4</v>
      </c>
      <c r="D26">
        <v>1.2248000000000001</v>
      </c>
      <c r="E26" s="1">
        <f t="shared" si="3"/>
        <v>0.41180555555555559</v>
      </c>
      <c r="F26" s="3">
        <v>46175</v>
      </c>
    </row>
    <row r="27" spans="1:6" x14ac:dyDescent="0.3">
      <c r="A27" t="s">
        <v>127</v>
      </c>
      <c r="B27">
        <f t="shared" si="1"/>
        <v>20</v>
      </c>
      <c r="C27">
        <f t="shared" si="2"/>
        <v>9.3499999999999692E-4</v>
      </c>
      <c r="D27">
        <v>2.2185000000000001</v>
      </c>
      <c r="E27" s="1">
        <f t="shared" si="3"/>
        <v>0.41250000000000003</v>
      </c>
      <c r="F27" s="3">
        <v>46175</v>
      </c>
    </row>
    <row r="28" spans="1:6" x14ac:dyDescent="0.3">
      <c r="A28" t="s">
        <v>128</v>
      </c>
      <c r="B28">
        <f t="shared" si="1"/>
        <v>20</v>
      </c>
      <c r="C28">
        <f t="shared" si="2"/>
        <v>9.9999999999998983E-4</v>
      </c>
      <c r="D28">
        <v>1.4386000000000001</v>
      </c>
      <c r="E28" s="1">
        <f t="shared" si="3"/>
        <v>0.41319444444444448</v>
      </c>
      <c r="F28" s="3">
        <v>46175</v>
      </c>
    </row>
    <row r="29" spans="1:6" x14ac:dyDescent="0.3">
      <c r="A29" t="s">
        <v>121</v>
      </c>
      <c r="B29">
        <f t="shared" si="1"/>
        <v>40</v>
      </c>
      <c r="C29">
        <f t="shared" si="2"/>
        <v>1.3549999999999951E-3</v>
      </c>
      <c r="D29">
        <v>1.8485</v>
      </c>
      <c r="E29" s="1">
        <f t="shared" si="3"/>
        <v>0.42013888888888895</v>
      </c>
      <c r="F29" s="3">
        <v>46175</v>
      </c>
    </row>
    <row r="30" spans="1:6" x14ac:dyDescent="0.3">
      <c r="A30" t="s">
        <v>122</v>
      </c>
      <c r="B30">
        <f t="shared" si="1"/>
        <v>40</v>
      </c>
      <c r="C30">
        <f t="shared" si="2"/>
        <v>1.6999999999999904E-3</v>
      </c>
      <c r="D30">
        <v>3.5893000000000002</v>
      </c>
      <c r="E30" s="1">
        <f t="shared" si="3"/>
        <v>0.42152777777777783</v>
      </c>
      <c r="F30" s="3">
        <v>46175</v>
      </c>
    </row>
    <row r="31" spans="1:6" x14ac:dyDescent="0.3">
      <c r="A31" t="s">
        <v>123</v>
      </c>
      <c r="B31">
        <f t="shared" si="1"/>
        <v>40</v>
      </c>
      <c r="C31">
        <f t="shared" si="2"/>
        <v>9.2000000000000968E-4</v>
      </c>
      <c r="D31">
        <v>3.1313</v>
      </c>
      <c r="E31" s="1">
        <f t="shared" si="3"/>
        <v>0.42222222222222228</v>
      </c>
      <c r="F31" s="3">
        <v>46175</v>
      </c>
    </row>
    <row r="32" spans="1:6" x14ac:dyDescent="0.3">
      <c r="A32" t="s">
        <v>124</v>
      </c>
      <c r="B32">
        <f t="shared" si="1"/>
        <v>40</v>
      </c>
      <c r="C32">
        <f t="shared" si="2"/>
        <v>1.0099999999999998E-3</v>
      </c>
      <c r="D32">
        <v>3.5539000000000001</v>
      </c>
      <c r="E32" s="1">
        <f t="shared" si="3"/>
        <v>0.42361111111111116</v>
      </c>
      <c r="F32" s="3">
        <v>46175</v>
      </c>
    </row>
    <row r="33" spans="1:6" x14ac:dyDescent="0.3">
      <c r="A33" t="s">
        <v>125</v>
      </c>
      <c r="B33">
        <f t="shared" si="1"/>
        <v>40</v>
      </c>
      <c r="C33">
        <f t="shared" si="2"/>
        <v>7.1499999999999895E-4</v>
      </c>
      <c r="D33">
        <v>3.0941999999999998</v>
      </c>
      <c r="E33" s="1">
        <f t="shared" si="3"/>
        <v>0.4243055555555556</v>
      </c>
      <c r="F33" s="3">
        <v>46175</v>
      </c>
    </row>
    <row r="34" spans="1:6" x14ac:dyDescent="0.3">
      <c r="A34" t="s">
        <v>126</v>
      </c>
      <c r="B34">
        <f t="shared" si="1"/>
        <v>40</v>
      </c>
      <c r="C34">
        <f t="shared" si="2"/>
        <v>8.3499999999998571E-4</v>
      </c>
      <c r="D34">
        <v>2.2806000000000002</v>
      </c>
      <c r="E34" s="1">
        <f t="shared" si="3"/>
        <v>0.42500000000000004</v>
      </c>
      <c r="F34" s="3">
        <v>46175</v>
      </c>
    </row>
    <row r="35" spans="1:6" x14ac:dyDescent="0.3">
      <c r="A35" t="s">
        <v>98</v>
      </c>
      <c r="B35">
        <f t="shared" si="1"/>
        <v>40</v>
      </c>
      <c r="C35">
        <f t="shared" si="2"/>
        <v>9.2000000000000968E-4</v>
      </c>
      <c r="D35">
        <v>1.2063999999999999</v>
      </c>
      <c r="E35" s="1">
        <f t="shared" si="3"/>
        <v>0.42569444444444449</v>
      </c>
      <c r="F35" s="3">
        <v>46175</v>
      </c>
    </row>
    <row r="36" spans="1:6" x14ac:dyDescent="0.3">
      <c r="A36" t="s">
        <v>127</v>
      </c>
      <c r="B36">
        <f t="shared" si="1"/>
        <v>40</v>
      </c>
      <c r="C36">
        <f t="shared" si="2"/>
        <v>9.3000000000000862E-4</v>
      </c>
      <c r="D36">
        <v>2.1999</v>
      </c>
      <c r="E36" s="1">
        <f t="shared" si="3"/>
        <v>0.42638888888888893</v>
      </c>
      <c r="F36" s="3">
        <v>46175</v>
      </c>
    </row>
    <row r="37" spans="1:6" x14ac:dyDescent="0.3">
      <c r="A37" t="s">
        <v>128</v>
      </c>
      <c r="B37">
        <f t="shared" si="1"/>
        <v>40</v>
      </c>
      <c r="C37">
        <f t="shared" si="2"/>
        <v>8.750000000000036E-4</v>
      </c>
      <c r="D37">
        <v>1.4211</v>
      </c>
      <c r="E37" s="1">
        <f t="shared" si="3"/>
        <v>0.42708333333333337</v>
      </c>
      <c r="F37" s="3">
        <v>46175</v>
      </c>
    </row>
    <row r="38" spans="1:6" x14ac:dyDescent="0.3">
      <c r="A38" t="s">
        <v>121</v>
      </c>
      <c r="B38">
        <f t="shared" si="1"/>
        <v>60</v>
      </c>
      <c r="C38">
        <f t="shared" si="2"/>
        <v>1.4449999999999962E-3</v>
      </c>
      <c r="D38">
        <v>1.8196000000000001</v>
      </c>
      <c r="E38" s="1">
        <f t="shared" si="3"/>
        <v>0.43402777777777785</v>
      </c>
      <c r="F38" s="3">
        <v>46175</v>
      </c>
    </row>
    <row r="39" spans="1:6" x14ac:dyDescent="0.3">
      <c r="A39" t="s">
        <v>122</v>
      </c>
      <c r="B39">
        <f t="shared" si="1"/>
        <v>60</v>
      </c>
      <c r="C39">
        <f t="shared" si="2"/>
        <v>1.7900000000000027E-3</v>
      </c>
      <c r="D39">
        <v>3.5535000000000001</v>
      </c>
      <c r="E39" s="1">
        <f t="shared" si="3"/>
        <v>0.43541666666666673</v>
      </c>
      <c r="F39" s="3">
        <v>46175</v>
      </c>
    </row>
    <row r="40" spans="1:6" x14ac:dyDescent="0.3">
      <c r="A40" t="s">
        <v>123</v>
      </c>
      <c r="B40">
        <f t="shared" si="1"/>
        <v>60</v>
      </c>
      <c r="C40">
        <f t="shared" si="2"/>
        <v>1.0099999999999998E-3</v>
      </c>
      <c r="D40">
        <v>3.1111</v>
      </c>
      <c r="E40" s="1">
        <f t="shared" si="3"/>
        <v>0.43611111111111117</v>
      </c>
      <c r="F40" s="3">
        <v>46175</v>
      </c>
    </row>
    <row r="41" spans="1:6" x14ac:dyDescent="0.3">
      <c r="A41" t="s">
        <v>124</v>
      </c>
      <c r="B41">
        <f t="shared" si="1"/>
        <v>60</v>
      </c>
      <c r="C41">
        <f t="shared" si="2"/>
        <v>1.1249999999999982E-3</v>
      </c>
      <c r="D41">
        <v>3.5314000000000001</v>
      </c>
      <c r="E41" s="1">
        <f t="shared" si="3"/>
        <v>0.43750000000000006</v>
      </c>
      <c r="F41" s="3">
        <v>46175</v>
      </c>
    </row>
    <row r="42" spans="1:6" x14ac:dyDescent="0.3">
      <c r="A42" t="s">
        <v>125</v>
      </c>
      <c r="B42">
        <f t="shared" si="1"/>
        <v>60</v>
      </c>
      <c r="C42">
        <f t="shared" si="2"/>
        <v>6.799999999999917E-4</v>
      </c>
      <c r="D42">
        <v>3.0806</v>
      </c>
      <c r="E42" s="1">
        <f t="shared" si="3"/>
        <v>0.4381944444444445</v>
      </c>
      <c r="F42" s="3">
        <v>46175</v>
      </c>
    </row>
    <row r="43" spans="1:6" x14ac:dyDescent="0.3">
      <c r="A43" t="s">
        <v>126</v>
      </c>
      <c r="B43">
        <f t="shared" si="1"/>
        <v>60</v>
      </c>
      <c r="C43">
        <f t="shared" si="2"/>
        <v>9.1499999999999915E-4</v>
      </c>
      <c r="D43">
        <v>2.2623000000000002</v>
      </c>
      <c r="E43" s="1">
        <f t="shared" si="3"/>
        <v>0.43888888888888894</v>
      </c>
      <c r="F43" s="3">
        <v>46175</v>
      </c>
    </row>
    <row r="44" spans="1:6" x14ac:dyDescent="0.3">
      <c r="A44" t="s">
        <v>98</v>
      </c>
      <c r="B44">
        <f t="shared" si="1"/>
        <v>60</v>
      </c>
      <c r="C44">
        <f t="shared" si="2"/>
        <v>8.8499999999999137E-4</v>
      </c>
      <c r="D44">
        <v>1.1887000000000001</v>
      </c>
      <c r="E44" s="1">
        <f t="shared" si="3"/>
        <v>0.43958333333333338</v>
      </c>
      <c r="F44" s="3">
        <v>46175</v>
      </c>
    </row>
    <row r="45" spans="1:6" x14ac:dyDescent="0.3">
      <c r="A45" t="s">
        <v>127</v>
      </c>
      <c r="B45">
        <f t="shared" si="1"/>
        <v>60</v>
      </c>
      <c r="C45">
        <f t="shared" si="2"/>
        <v>9.80000000000003E-4</v>
      </c>
      <c r="D45">
        <v>2.1802999999999999</v>
      </c>
      <c r="E45" s="1">
        <f t="shared" si="3"/>
        <v>0.44027777777777782</v>
      </c>
      <c r="F45" s="3">
        <v>46175</v>
      </c>
    </row>
    <row r="46" spans="1:6" x14ac:dyDescent="0.3">
      <c r="A46" t="s">
        <v>128</v>
      </c>
      <c r="B46">
        <f t="shared" si="1"/>
        <v>60</v>
      </c>
      <c r="C46">
        <f t="shared" si="2"/>
        <v>8.0000000000000069E-4</v>
      </c>
      <c r="D46">
        <v>1.4051</v>
      </c>
      <c r="E46" s="1">
        <f t="shared" si="3"/>
        <v>0.44097222222222227</v>
      </c>
      <c r="F46" s="3">
        <v>46175</v>
      </c>
    </row>
    <row r="47" spans="1:6" x14ac:dyDescent="0.3">
      <c r="A47" t="s">
        <v>121</v>
      </c>
      <c r="B47">
        <f t="shared" si="1"/>
        <v>80</v>
      </c>
      <c r="C47">
        <f t="shared" si="2"/>
        <v>1.4500000000000068E-3</v>
      </c>
      <c r="D47">
        <v>1.7906</v>
      </c>
      <c r="E47" s="1">
        <f t="shared" si="3"/>
        <v>0.44791666666666674</v>
      </c>
      <c r="F47" s="3">
        <v>46175</v>
      </c>
    </row>
    <row r="48" spans="1:6" x14ac:dyDescent="0.3">
      <c r="A48" t="s">
        <v>122</v>
      </c>
      <c r="B48">
        <f t="shared" si="1"/>
        <v>80</v>
      </c>
      <c r="C48">
        <f t="shared" si="2"/>
        <v>2.4050000000000126E-3</v>
      </c>
      <c r="D48">
        <v>3.5053999999999998</v>
      </c>
      <c r="E48" s="1">
        <f t="shared" si="3"/>
        <v>0.44930555555555562</v>
      </c>
      <c r="F48" s="3">
        <v>46175</v>
      </c>
    </row>
    <row r="49" spans="1:6" x14ac:dyDescent="0.3">
      <c r="A49" t="s">
        <v>123</v>
      </c>
      <c r="B49">
        <f t="shared" si="1"/>
        <v>80</v>
      </c>
      <c r="C49">
        <f t="shared" si="2"/>
        <v>1.1800000000000033E-3</v>
      </c>
      <c r="D49">
        <v>3.0874999999999999</v>
      </c>
      <c r="E49" s="1">
        <f t="shared" si="3"/>
        <v>0.45000000000000007</v>
      </c>
      <c r="F49" s="3">
        <v>46175</v>
      </c>
    </row>
    <row r="50" spans="1:6" x14ac:dyDescent="0.3">
      <c r="A50" t="s">
        <v>124</v>
      </c>
      <c r="B50">
        <f t="shared" si="1"/>
        <v>80</v>
      </c>
      <c r="C50">
        <f t="shared" si="2"/>
        <v>1.0900000000000133E-3</v>
      </c>
      <c r="D50">
        <v>3.5095999999999998</v>
      </c>
      <c r="E50" s="1">
        <f t="shared" si="3"/>
        <v>0.45138888888888895</v>
      </c>
      <c r="F50" s="3">
        <v>46175</v>
      </c>
    </row>
    <row r="51" spans="1:6" x14ac:dyDescent="0.3">
      <c r="A51" t="s">
        <v>125</v>
      </c>
      <c r="B51">
        <f t="shared" si="1"/>
        <v>80</v>
      </c>
      <c r="C51">
        <f t="shared" si="2"/>
        <v>6.6999999999999287E-4</v>
      </c>
      <c r="D51">
        <v>3.0672000000000001</v>
      </c>
      <c r="E51" s="1">
        <f t="shared" si="3"/>
        <v>0.45208333333333339</v>
      </c>
      <c r="F51" s="3">
        <v>46175</v>
      </c>
    </row>
    <row r="52" spans="1:6" x14ac:dyDescent="0.3">
      <c r="A52" t="s">
        <v>126</v>
      </c>
      <c r="B52">
        <f t="shared" si="1"/>
        <v>80</v>
      </c>
      <c r="C52">
        <f t="shared" si="2"/>
        <v>1.2099999999999999E-3</v>
      </c>
      <c r="D52">
        <v>2.2381000000000002</v>
      </c>
      <c r="E52" s="1">
        <f t="shared" si="3"/>
        <v>0.45277777777777783</v>
      </c>
      <c r="F52" s="3">
        <v>46175</v>
      </c>
    </row>
    <row r="53" spans="1:6" x14ac:dyDescent="0.3">
      <c r="A53" t="s">
        <v>98</v>
      </c>
      <c r="B53">
        <f t="shared" si="1"/>
        <v>80</v>
      </c>
      <c r="C53">
        <f t="shared" si="2"/>
        <v>9.3500000000000809E-4</v>
      </c>
      <c r="D53">
        <v>1.17</v>
      </c>
      <c r="E53" s="1">
        <f t="shared" si="3"/>
        <v>0.45347222222222228</v>
      </c>
      <c r="F53" s="3">
        <v>46175</v>
      </c>
    </row>
    <row r="54" spans="1:6" x14ac:dyDescent="0.3">
      <c r="A54" t="s">
        <v>127</v>
      </c>
      <c r="B54">
        <f t="shared" si="1"/>
        <v>80</v>
      </c>
      <c r="C54">
        <f t="shared" si="2"/>
        <v>8.6500000000000465E-4</v>
      </c>
      <c r="D54">
        <v>2.1629999999999998</v>
      </c>
      <c r="E54" s="1">
        <f t="shared" si="3"/>
        <v>0.45416666666666672</v>
      </c>
      <c r="F54" s="3">
        <v>46175</v>
      </c>
    </row>
    <row r="55" spans="1:6" x14ac:dyDescent="0.3">
      <c r="A55" t="s">
        <v>128</v>
      </c>
      <c r="B55">
        <f t="shared" si="1"/>
        <v>80</v>
      </c>
      <c r="C55">
        <f t="shared" si="2"/>
        <v>7.7500000000000344E-4</v>
      </c>
      <c r="D55">
        <v>1.3895999999999999</v>
      </c>
      <c r="E55" s="1">
        <f t="shared" si="3"/>
        <v>0.45486111111111116</v>
      </c>
      <c r="F55" s="3">
        <v>46175</v>
      </c>
    </row>
    <row r="56" spans="1:6" x14ac:dyDescent="0.3">
      <c r="A56" t="s">
        <v>121</v>
      </c>
      <c r="B56">
        <f t="shared" si="1"/>
        <v>100</v>
      </c>
      <c r="C56">
        <f t="shared" si="2"/>
        <v>1.2399999999999967E-3</v>
      </c>
      <c r="D56">
        <v>1.7658</v>
      </c>
      <c r="E56" s="1">
        <f t="shared" si="3"/>
        <v>0.46180555555555564</v>
      </c>
      <c r="F56" s="3">
        <v>46175</v>
      </c>
    </row>
    <row r="57" spans="1:6" x14ac:dyDescent="0.3">
      <c r="A57" t="s">
        <v>122</v>
      </c>
      <c r="B57">
        <f t="shared" si="1"/>
        <v>100</v>
      </c>
      <c r="C57">
        <f t="shared" si="2"/>
        <v>2.30999999999999E-3</v>
      </c>
      <c r="D57">
        <v>3.4592000000000001</v>
      </c>
      <c r="E57" s="1">
        <f t="shared" si="3"/>
        <v>0.46319444444444452</v>
      </c>
      <c r="F57" s="3">
        <v>46175</v>
      </c>
    </row>
    <row r="58" spans="1:6" x14ac:dyDescent="0.3">
      <c r="A58" t="s">
        <v>123</v>
      </c>
      <c r="B58">
        <f t="shared" si="1"/>
        <v>100</v>
      </c>
      <c r="C58">
        <f t="shared" si="2"/>
        <v>1.5900000000000024E-3</v>
      </c>
      <c r="D58">
        <v>3.0556999999999999</v>
      </c>
      <c r="E58" s="1">
        <f t="shared" si="3"/>
        <v>0.46388888888888896</v>
      </c>
      <c r="F58" s="3">
        <v>46175</v>
      </c>
    </row>
    <row r="59" spans="1:6" x14ac:dyDescent="0.3">
      <c r="A59" t="s">
        <v>124</v>
      </c>
      <c r="B59">
        <f t="shared" si="1"/>
        <v>100</v>
      </c>
      <c r="C59">
        <f t="shared" si="2"/>
        <v>1.4699999999999934E-3</v>
      </c>
      <c r="D59">
        <v>3.4802</v>
      </c>
      <c r="E59" s="1">
        <f t="shared" si="3"/>
        <v>0.46527777777777785</v>
      </c>
      <c r="F59" s="3">
        <v>46175</v>
      </c>
    </row>
    <row r="60" spans="1:6" x14ac:dyDescent="0.3">
      <c r="A60" t="s">
        <v>125</v>
      </c>
      <c r="B60">
        <f t="shared" si="1"/>
        <v>100</v>
      </c>
      <c r="C60">
        <f t="shared" si="2"/>
        <v>7.2499999999999789E-4</v>
      </c>
      <c r="D60">
        <v>3.0527000000000002</v>
      </c>
      <c r="E60" s="1">
        <f t="shared" si="3"/>
        <v>0.46597222222222229</v>
      </c>
      <c r="F60" s="3">
        <v>46175</v>
      </c>
    </row>
    <row r="61" spans="1:6" x14ac:dyDescent="0.3">
      <c r="A61" t="s">
        <v>126</v>
      </c>
      <c r="B61">
        <f t="shared" si="1"/>
        <v>100</v>
      </c>
      <c r="C61">
        <f t="shared" si="2"/>
        <v>1.6100000000000003E-3</v>
      </c>
      <c r="D61">
        <v>2.2059000000000002</v>
      </c>
      <c r="E61" s="1">
        <f t="shared" si="3"/>
        <v>0.46666666666666673</v>
      </c>
      <c r="F61" s="3">
        <v>46175</v>
      </c>
    </row>
    <row r="62" spans="1:6" x14ac:dyDescent="0.3">
      <c r="A62" t="s">
        <v>98</v>
      </c>
      <c r="B62">
        <f t="shared" si="1"/>
        <v>100</v>
      </c>
      <c r="C62">
        <f t="shared" si="2"/>
        <v>8.8499999999999137E-4</v>
      </c>
      <c r="D62">
        <v>1.1523000000000001</v>
      </c>
      <c r="E62" s="1">
        <f t="shared" si="3"/>
        <v>0.46736111111111117</v>
      </c>
      <c r="F62" s="3">
        <v>46175</v>
      </c>
    </row>
    <row r="63" spans="1:6" x14ac:dyDescent="0.3">
      <c r="A63" t="s">
        <v>127</v>
      </c>
      <c r="B63">
        <f t="shared" si="1"/>
        <v>100</v>
      </c>
      <c r="C63">
        <f t="shared" si="2"/>
        <v>9.549999999999947E-4</v>
      </c>
      <c r="D63">
        <v>2.1438999999999999</v>
      </c>
      <c r="E63" s="1">
        <f t="shared" si="3"/>
        <v>0.46805555555555561</v>
      </c>
      <c r="F63" s="3">
        <v>46175</v>
      </c>
    </row>
    <row r="64" spans="1:6" x14ac:dyDescent="0.3">
      <c r="A64" t="s">
        <v>128</v>
      </c>
      <c r="B64">
        <f t="shared" si="1"/>
        <v>100</v>
      </c>
      <c r="C64">
        <f t="shared" si="2"/>
        <v>8.149999999999991E-4</v>
      </c>
      <c r="D64">
        <v>1.3733</v>
      </c>
      <c r="E64" s="1">
        <f t="shared" si="3"/>
        <v>0.46875000000000006</v>
      </c>
      <c r="F64" s="3">
        <v>46175</v>
      </c>
    </row>
    <row r="65" spans="1:6" x14ac:dyDescent="0.3">
      <c r="A65" t="s">
        <v>121</v>
      </c>
      <c r="B65">
        <f t="shared" si="1"/>
        <v>120</v>
      </c>
      <c r="C65">
        <f t="shared" si="2"/>
        <v>1.3299999999999979E-3</v>
      </c>
      <c r="D65">
        <v>1.7392000000000001</v>
      </c>
      <c r="E65" s="1">
        <f t="shared" si="3"/>
        <v>0.47569444444444453</v>
      </c>
      <c r="F65" s="3">
        <v>46175</v>
      </c>
    </row>
    <row r="66" spans="1:6" x14ac:dyDescent="0.3">
      <c r="A66" t="s">
        <v>122</v>
      </c>
      <c r="B66">
        <f t="shared" si="1"/>
        <v>120</v>
      </c>
      <c r="C66">
        <f t="shared" si="2"/>
        <v>1.6950000000000021E-3</v>
      </c>
      <c r="D66">
        <v>3.4253</v>
      </c>
      <c r="E66" s="1">
        <f t="shared" si="3"/>
        <v>0.47708333333333341</v>
      </c>
      <c r="F66" s="3">
        <v>46175</v>
      </c>
    </row>
    <row r="67" spans="1:6" x14ac:dyDescent="0.3">
      <c r="A67" t="s">
        <v>123</v>
      </c>
      <c r="B67">
        <f t="shared" si="1"/>
        <v>120</v>
      </c>
      <c r="C67">
        <f t="shared" si="2"/>
        <v>2.2699999999999942E-3</v>
      </c>
      <c r="D67">
        <v>3.0103</v>
      </c>
      <c r="E67" s="1">
        <f t="shared" si="3"/>
        <v>0.47777777777777786</v>
      </c>
      <c r="F67" s="3">
        <v>46175</v>
      </c>
    </row>
    <row r="68" spans="1:6" x14ac:dyDescent="0.3">
      <c r="A68" t="s">
        <v>124</v>
      </c>
      <c r="B68">
        <f t="shared" si="1"/>
        <v>120</v>
      </c>
      <c r="C68">
        <f t="shared" si="2"/>
        <v>4.8999999999999044E-4</v>
      </c>
      <c r="D68">
        <v>3.4704000000000002</v>
      </c>
      <c r="E68" s="1">
        <f t="shared" si="3"/>
        <v>0.47916666666666674</v>
      </c>
      <c r="F68" s="3">
        <v>46175</v>
      </c>
    </row>
    <row r="69" spans="1:6" x14ac:dyDescent="0.3">
      <c r="A69" t="s">
        <v>125</v>
      </c>
      <c r="B69">
        <f t="shared" si="1"/>
        <v>120</v>
      </c>
      <c r="C69">
        <f t="shared" si="2"/>
        <v>6.9000000000001287E-4</v>
      </c>
      <c r="D69">
        <v>3.0388999999999999</v>
      </c>
      <c r="E69" s="1">
        <f t="shared" si="3"/>
        <v>0.47986111111111118</v>
      </c>
      <c r="F69" s="3">
        <v>46175</v>
      </c>
    </row>
    <row r="70" spans="1:6" x14ac:dyDescent="0.3">
      <c r="A70" t="s">
        <v>126</v>
      </c>
      <c r="B70">
        <f t="shared" si="1"/>
        <v>120</v>
      </c>
      <c r="C70">
        <f t="shared" si="2"/>
        <v>1.0700000000000154E-3</v>
      </c>
      <c r="D70">
        <v>2.1844999999999999</v>
      </c>
      <c r="E70" s="1">
        <f t="shared" si="3"/>
        <v>0.48055555555555562</v>
      </c>
      <c r="F70" s="3">
        <v>46175</v>
      </c>
    </row>
    <row r="71" spans="1:6" x14ac:dyDescent="0.3">
      <c r="A71" t="s">
        <v>98</v>
      </c>
      <c r="B71">
        <f t="shared" si="1"/>
        <v>120</v>
      </c>
      <c r="C71">
        <f t="shared" si="2"/>
        <v>8.8500000000000243E-4</v>
      </c>
      <c r="D71">
        <v>1.1346000000000001</v>
      </c>
      <c r="E71" s="1">
        <f t="shared" si="3"/>
        <v>0.48125000000000007</v>
      </c>
      <c r="F71" s="3">
        <v>46175</v>
      </c>
    </row>
    <row r="72" spans="1:6" x14ac:dyDescent="0.3">
      <c r="A72" t="s">
        <v>127</v>
      </c>
      <c r="B72">
        <f t="shared" si="1"/>
        <v>120</v>
      </c>
      <c r="C72">
        <f t="shared" si="2"/>
        <v>8.5999999999999412E-4</v>
      </c>
      <c r="D72">
        <v>2.1267</v>
      </c>
      <c r="E72" s="1">
        <f t="shared" si="3"/>
        <v>0.48194444444444451</v>
      </c>
      <c r="F72" s="3">
        <v>46175</v>
      </c>
    </row>
    <row r="73" spans="1:6" x14ac:dyDescent="0.3">
      <c r="A73" t="s">
        <v>128</v>
      </c>
      <c r="B73">
        <f t="shared" si="1"/>
        <v>120</v>
      </c>
      <c r="C73">
        <f t="shared" si="2"/>
        <v>8.0000000000000069E-4</v>
      </c>
      <c r="D73">
        <v>1.3573</v>
      </c>
      <c r="E73" s="1">
        <f t="shared" si="3"/>
        <v>0.48263888888888895</v>
      </c>
      <c r="F73" s="3">
        <v>46175</v>
      </c>
    </row>
    <row r="74" spans="1:6" s="6" customFormat="1" x14ac:dyDescent="0.3">
      <c r="A74" s="6" t="s">
        <v>121</v>
      </c>
      <c r="B74" s="6">
        <f t="shared" si="1"/>
        <v>140</v>
      </c>
      <c r="C74" s="6">
        <f t="shared" si="2"/>
        <v>1.3400000000000079E-3</v>
      </c>
      <c r="D74" s="6">
        <v>1.7123999999999999</v>
      </c>
      <c r="E74" s="8">
        <f t="shared" si="3"/>
        <v>0.48958333333333343</v>
      </c>
      <c r="F74" s="11">
        <v>46175</v>
      </c>
    </row>
    <row r="75" spans="1:6" x14ac:dyDescent="0.3">
      <c r="A75" t="s">
        <v>122</v>
      </c>
      <c r="B75">
        <f t="shared" si="1"/>
        <v>140</v>
      </c>
      <c r="C75">
        <f t="shared" si="2"/>
        <v>1.4250000000000096E-3</v>
      </c>
      <c r="D75">
        <v>3.3967999999999998</v>
      </c>
      <c r="E75" s="1">
        <f t="shared" si="3"/>
        <v>0.49097222222222231</v>
      </c>
      <c r="F75" s="3">
        <v>46175</v>
      </c>
    </row>
    <row r="76" spans="1:6" x14ac:dyDescent="0.3">
      <c r="A76" t="s">
        <v>123</v>
      </c>
      <c r="B76">
        <f t="shared" si="1"/>
        <v>140</v>
      </c>
      <c r="C76">
        <f t="shared" si="2"/>
        <v>2.2350000000000091E-3</v>
      </c>
      <c r="D76">
        <v>2.9655999999999998</v>
      </c>
      <c r="E76" s="1">
        <f t="shared" si="3"/>
        <v>0.49166666666666675</v>
      </c>
      <c r="F76" s="3">
        <v>46175</v>
      </c>
    </row>
    <row r="77" spans="1:6" x14ac:dyDescent="0.3">
      <c r="A77" t="s">
        <v>124</v>
      </c>
      <c r="B77">
        <f t="shared" si="1"/>
        <v>140</v>
      </c>
      <c r="C77">
        <f t="shared" si="2"/>
        <v>9.6500000000001587E-4</v>
      </c>
      <c r="D77">
        <v>3.4510999999999998</v>
      </c>
      <c r="E77" s="1">
        <f t="shared" si="3"/>
        <v>0.49305555555555564</v>
      </c>
      <c r="F77" s="3">
        <v>46175</v>
      </c>
    </row>
    <row r="78" spans="1:6" x14ac:dyDescent="0.3">
      <c r="A78" t="s">
        <v>125</v>
      </c>
      <c r="B78">
        <f t="shared" si="1"/>
        <v>140</v>
      </c>
      <c r="C78">
        <f t="shared" si="2"/>
        <v>6.8500000000000223E-4</v>
      </c>
      <c r="D78">
        <v>3.0251999999999999</v>
      </c>
      <c r="E78" s="1">
        <f t="shared" si="3"/>
        <v>0.49375000000000008</v>
      </c>
      <c r="F78" s="3">
        <v>46175</v>
      </c>
    </row>
    <row r="79" spans="1:6" x14ac:dyDescent="0.3">
      <c r="A79" t="s">
        <v>126</v>
      </c>
      <c r="B79">
        <f t="shared" si="1"/>
        <v>140</v>
      </c>
      <c r="C79">
        <f t="shared" si="2"/>
        <v>7.6000000000000514E-4</v>
      </c>
      <c r="D79">
        <v>2.1692999999999998</v>
      </c>
      <c r="E79" s="1">
        <f t="shared" si="3"/>
        <v>0.49444444444444452</v>
      </c>
      <c r="F79" s="3">
        <v>46175</v>
      </c>
    </row>
    <row r="80" spans="1:6" x14ac:dyDescent="0.3">
      <c r="A80" t="s">
        <v>98</v>
      </c>
      <c r="B80">
        <f t="shared" si="1"/>
        <v>140</v>
      </c>
      <c r="C80">
        <f t="shared" si="2"/>
        <v>9.5500000000000587E-4</v>
      </c>
      <c r="D80">
        <v>1.1154999999999999</v>
      </c>
      <c r="E80" s="1">
        <f t="shared" si="3"/>
        <v>0.49513888888888896</v>
      </c>
      <c r="F80" s="3">
        <v>46175</v>
      </c>
    </row>
    <row r="81" spans="1:6" x14ac:dyDescent="0.3">
      <c r="A81" t="s">
        <v>127</v>
      </c>
      <c r="B81">
        <f t="shared" si="1"/>
        <v>140</v>
      </c>
      <c r="C81">
        <f t="shared" si="2"/>
        <v>9.7000000000000417E-4</v>
      </c>
      <c r="D81">
        <v>2.1073</v>
      </c>
      <c r="E81" s="1">
        <f t="shared" si="3"/>
        <v>0.4958333333333334</v>
      </c>
      <c r="F81" s="3">
        <v>46175</v>
      </c>
    </row>
    <row r="82" spans="1:6" x14ac:dyDescent="0.3">
      <c r="A82" t="s">
        <v>128</v>
      </c>
      <c r="B82">
        <f t="shared" si="1"/>
        <v>140</v>
      </c>
      <c r="C82">
        <f t="shared" si="2"/>
        <v>8.0999999999999963E-4</v>
      </c>
      <c r="D82">
        <v>1.3411</v>
      </c>
      <c r="E82" s="1">
        <f t="shared" si="3"/>
        <v>0.49652777777777785</v>
      </c>
      <c r="F82" s="3">
        <v>46175</v>
      </c>
    </row>
    <row r="83" spans="1:6" s="6" customFormat="1" x14ac:dyDescent="0.3">
      <c r="A83" s="6" t="s">
        <v>121</v>
      </c>
      <c r="B83" s="6">
        <f t="shared" si="1"/>
        <v>160</v>
      </c>
      <c r="C83" s="6">
        <f t="shared" si="2"/>
        <v>1.2050000000000006E-3</v>
      </c>
      <c r="D83" s="6">
        <v>1.6882999999999999</v>
      </c>
      <c r="E83" s="8">
        <f t="shared" si="3"/>
        <v>0.50347222222222232</v>
      </c>
      <c r="F83" s="11">
        <v>46175</v>
      </c>
    </row>
    <row r="84" spans="1:6" x14ac:dyDescent="0.3">
      <c r="A84" t="s">
        <v>122</v>
      </c>
      <c r="B84">
        <f t="shared" si="1"/>
        <v>160</v>
      </c>
      <c r="C84">
        <f t="shared" si="2"/>
        <v>1.5499999999999848E-3</v>
      </c>
      <c r="D84">
        <v>3.3658000000000001</v>
      </c>
      <c r="E84" s="1">
        <f t="shared" si="3"/>
        <v>0.5048611111111112</v>
      </c>
      <c r="F84" s="3">
        <v>46175</v>
      </c>
    </row>
    <row r="85" spans="1:6" x14ac:dyDescent="0.3">
      <c r="A85" t="s">
        <v>123</v>
      </c>
      <c r="B85">
        <f t="shared" ref="B85:B136" si="4">B76+20</f>
        <v>160</v>
      </c>
      <c r="C85">
        <f t="shared" ref="C85:C136" si="5">(D76-D85)/20</f>
        <v>1.1299999999999865E-3</v>
      </c>
      <c r="D85">
        <v>2.9430000000000001</v>
      </c>
      <c r="E85" s="1">
        <f t="shared" ref="E85:E136" si="6">E76+20/1440</f>
        <v>0.50555555555555565</v>
      </c>
      <c r="F85" s="3">
        <v>46175</v>
      </c>
    </row>
    <row r="86" spans="1:6" x14ac:dyDescent="0.3">
      <c r="A86" t="s">
        <v>124</v>
      </c>
      <c r="B86">
        <f t="shared" si="4"/>
        <v>160</v>
      </c>
      <c r="C86">
        <f t="shared" si="5"/>
        <v>9.7999999999998089E-4</v>
      </c>
      <c r="D86">
        <v>3.4315000000000002</v>
      </c>
      <c r="E86" s="1">
        <f t="shared" si="6"/>
        <v>0.50694444444444453</v>
      </c>
      <c r="F86" s="3">
        <v>46175</v>
      </c>
    </row>
    <row r="87" spans="1:6" x14ac:dyDescent="0.3">
      <c r="A87" t="s">
        <v>125</v>
      </c>
      <c r="B87">
        <f t="shared" si="4"/>
        <v>160</v>
      </c>
      <c r="C87">
        <f t="shared" si="5"/>
        <v>7.7499999999999238E-4</v>
      </c>
      <c r="D87">
        <v>3.0097</v>
      </c>
      <c r="E87" s="1">
        <f t="shared" si="6"/>
        <v>0.50763888888888897</v>
      </c>
      <c r="F87" s="3">
        <v>46175</v>
      </c>
    </row>
    <row r="88" spans="1:6" x14ac:dyDescent="0.3">
      <c r="A88" t="s">
        <v>126</v>
      </c>
      <c r="B88">
        <f t="shared" si="4"/>
        <v>160</v>
      </c>
      <c r="C88">
        <f t="shared" si="5"/>
        <v>6.8999999999999064E-4</v>
      </c>
      <c r="D88">
        <v>2.1555</v>
      </c>
      <c r="E88" s="1">
        <f t="shared" si="6"/>
        <v>0.50833333333333341</v>
      </c>
      <c r="F88" s="3">
        <v>46175</v>
      </c>
    </row>
    <row r="89" spans="1:6" x14ac:dyDescent="0.3">
      <c r="A89" t="s">
        <v>98</v>
      </c>
      <c r="B89">
        <f t="shared" si="4"/>
        <v>160</v>
      </c>
      <c r="C89">
        <f t="shared" si="5"/>
        <v>9.1999999999999862E-4</v>
      </c>
      <c r="D89">
        <v>1.0971</v>
      </c>
      <c r="E89" s="1">
        <f t="shared" si="6"/>
        <v>0.50902777777777786</v>
      </c>
      <c r="F89" s="3">
        <v>46175</v>
      </c>
    </row>
    <row r="90" spans="1:6" x14ac:dyDescent="0.3">
      <c r="A90" t="s">
        <v>127</v>
      </c>
      <c r="B90">
        <f t="shared" si="4"/>
        <v>160</v>
      </c>
      <c r="C90">
        <f t="shared" si="5"/>
        <v>7.2499999999999789E-4</v>
      </c>
      <c r="D90">
        <v>2.0928</v>
      </c>
      <c r="E90" s="1">
        <f t="shared" si="6"/>
        <v>0.5097222222222223</v>
      </c>
      <c r="F90" s="3">
        <v>46175</v>
      </c>
    </row>
    <row r="91" spans="1:6" x14ac:dyDescent="0.3">
      <c r="A91" t="s">
        <v>128</v>
      </c>
      <c r="B91">
        <f t="shared" si="4"/>
        <v>160</v>
      </c>
      <c r="C91">
        <f t="shared" si="5"/>
        <v>7.8500000000000238E-4</v>
      </c>
      <c r="D91">
        <v>1.3253999999999999</v>
      </c>
      <c r="E91" s="1">
        <f t="shared" si="6"/>
        <v>0.51041666666666674</v>
      </c>
      <c r="F91" s="3">
        <v>46175</v>
      </c>
    </row>
    <row r="92" spans="1:6" x14ac:dyDescent="0.3">
      <c r="A92" s="6" t="s">
        <v>121</v>
      </c>
      <c r="B92">
        <f t="shared" si="4"/>
        <v>180</v>
      </c>
      <c r="C92">
        <f t="shared" si="5"/>
        <v>1.2349999999999972E-3</v>
      </c>
      <c r="D92">
        <v>1.6636</v>
      </c>
      <c r="E92" s="1">
        <f t="shared" si="6"/>
        <v>0.51736111111111116</v>
      </c>
      <c r="F92" s="3">
        <v>46175</v>
      </c>
    </row>
    <row r="93" spans="1:6" x14ac:dyDescent="0.3">
      <c r="A93" t="s">
        <v>122</v>
      </c>
      <c r="B93">
        <f t="shared" si="4"/>
        <v>180</v>
      </c>
      <c r="C93">
        <f t="shared" si="5"/>
        <v>1.495000000000002E-3</v>
      </c>
      <c r="D93">
        <v>3.3359000000000001</v>
      </c>
      <c r="E93" s="1">
        <f t="shared" si="6"/>
        <v>0.51875000000000004</v>
      </c>
      <c r="F93" s="3">
        <v>46175</v>
      </c>
    </row>
    <row r="94" spans="1:6" x14ac:dyDescent="0.3">
      <c r="A94" t="s">
        <v>123</v>
      </c>
      <c r="B94">
        <f t="shared" si="4"/>
        <v>180</v>
      </c>
      <c r="C94">
        <f t="shared" si="5"/>
        <v>9.80000000000003E-4</v>
      </c>
      <c r="D94">
        <v>2.9234</v>
      </c>
      <c r="E94" s="1">
        <f t="shared" si="6"/>
        <v>0.51944444444444449</v>
      </c>
      <c r="F94" s="3">
        <v>46175</v>
      </c>
    </row>
    <row r="95" spans="1:6" x14ac:dyDescent="0.3">
      <c r="A95" t="s">
        <v>124</v>
      </c>
      <c r="B95">
        <f t="shared" si="4"/>
        <v>180</v>
      </c>
      <c r="C95">
        <f t="shared" si="5"/>
        <v>1.055000000000006E-3</v>
      </c>
      <c r="D95">
        <v>3.4104000000000001</v>
      </c>
      <c r="E95" s="1">
        <f t="shared" si="6"/>
        <v>0.52083333333333337</v>
      </c>
      <c r="F95" s="3">
        <v>46175</v>
      </c>
    </row>
    <row r="96" spans="1:6" x14ac:dyDescent="0.3">
      <c r="A96" t="s">
        <v>125</v>
      </c>
      <c r="B96">
        <f t="shared" si="4"/>
        <v>180</v>
      </c>
      <c r="C96">
        <f t="shared" si="5"/>
        <v>7.6000000000000514E-4</v>
      </c>
      <c r="D96">
        <v>2.9944999999999999</v>
      </c>
      <c r="E96" s="1">
        <f t="shared" si="6"/>
        <v>0.52152777777777781</v>
      </c>
      <c r="F96" s="3">
        <v>46175</v>
      </c>
    </row>
    <row r="97" spans="1:6" x14ac:dyDescent="0.3">
      <c r="A97" t="s">
        <v>126</v>
      </c>
      <c r="B97">
        <f t="shared" si="4"/>
        <v>180</v>
      </c>
      <c r="C97">
        <f t="shared" si="5"/>
        <v>6.5999999999999392E-4</v>
      </c>
      <c r="D97">
        <v>2.1423000000000001</v>
      </c>
      <c r="E97" s="1">
        <f t="shared" si="6"/>
        <v>0.52222222222222225</v>
      </c>
      <c r="F97" s="3">
        <v>46175</v>
      </c>
    </row>
    <row r="98" spans="1:6" x14ac:dyDescent="0.3">
      <c r="A98" t="s">
        <v>98</v>
      </c>
      <c r="B98">
        <f t="shared" si="4"/>
        <v>180</v>
      </c>
      <c r="C98">
        <f t="shared" si="5"/>
        <v>9.1499999999999915E-4</v>
      </c>
      <c r="D98">
        <v>1.0788</v>
      </c>
      <c r="E98" s="1">
        <f t="shared" si="6"/>
        <v>0.5229166666666667</v>
      </c>
      <c r="F98" s="3">
        <v>46175</v>
      </c>
    </row>
    <row r="99" spans="1:6" x14ac:dyDescent="0.3">
      <c r="A99" t="s">
        <v>127</v>
      </c>
      <c r="B99">
        <f t="shared" si="4"/>
        <v>180</v>
      </c>
      <c r="C99">
        <f t="shared" si="5"/>
        <v>8.3500000000000794E-4</v>
      </c>
      <c r="D99">
        <v>2.0760999999999998</v>
      </c>
      <c r="E99" s="1">
        <f t="shared" si="6"/>
        <v>0.52361111111111114</v>
      </c>
      <c r="F99" s="3">
        <v>46175</v>
      </c>
    </row>
    <row r="100" spans="1:6" x14ac:dyDescent="0.3">
      <c r="A100" t="s">
        <v>128</v>
      </c>
      <c r="B100">
        <f t="shared" si="4"/>
        <v>180</v>
      </c>
      <c r="C100">
        <f t="shared" si="5"/>
        <v>8.649999999999936E-4</v>
      </c>
      <c r="D100">
        <v>1.3081</v>
      </c>
      <c r="E100" s="1">
        <f t="shared" si="6"/>
        <v>0.52430555555555558</v>
      </c>
      <c r="F100" s="3">
        <v>46175</v>
      </c>
    </row>
    <row r="101" spans="1:6" x14ac:dyDescent="0.3">
      <c r="A101" s="6" t="s">
        <v>121</v>
      </c>
      <c r="B101">
        <f t="shared" si="4"/>
        <v>200</v>
      </c>
      <c r="C101">
        <f t="shared" si="5"/>
        <v>1.2050000000000006E-3</v>
      </c>
      <c r="D101">
        <v>1.6395</v>
      </c>
      <c r="E101" s="1">
        <f t="shared" si="6"/>
        <v>0.53125</v>
      </c>
      <c r="F101" s="3">
        <v>46175</v>
      </c>
    </row>
    <row r="102" spans="1:6" x14ac:dyDescent="0.3">
      <c r="A102" t="s">
        <v>122</v>
      </c>
      <c r="B102">
        <f t="shared" si="4"/>
        <v>200</v>
      </c>
      <c r="C102">
        <f t="shared" si="5"/>
        <v>1.4699999999999934E-3</v>
      </c>
      <c r="D102">
        <v>3.3065000000000002</v>
      </c>
      <c r="E102" s="1">
        <f t="shared" si="6"/>
        <v>0.53263888888888888</v>
      </c>
      <c r="F102" s="3">
        <v>46175</v>
      </c>
    </row>
    <row r="103" spans="1:6" x14ac:dyDescent="0.3">
      <c r="A103" t="s">
        <v>123</v>
      </c>
      <c r="B103">
        <f t="shared" si="4"/>
        <v>200</v>
      </c>
      <c r="C103">
        <f t="shared" si="5"/>
        <v>1.0049999999999892E-3</v>
      </c>
      <c r="D103">
        <v>2.9033000000000002</v>
      </c>
      <c r="E103" s="1">
        <f t="shared" si="6"/>
        <v>0.53333333333333333</v>
      </c>
      <c r="F103" s="3">
        <v>46175</v>
      </c>
    </row>
    <row r="104" spans="1:6" x14ac:dyDescent="0.3">
      <c r="A104" t="s">
        <v>124</v>
      </c>
      <c r="B104">
        <f t="shared" si="4"/>
        <v>200</v>
      </c>
      <c r="C104">
        <f t="shared" si="5"/>
        <v>1.0150000000000103E-3</v>
      </c>
      <c r="D104">
        <v>3.3900999999999999</v>
      </c>
      <c r="E104" s="1">
        <f t="shared" si="6"/>
        <v>0.53472222222222221</v>
      </c>
      <c r="F104" s="3">
        <v>46175</v>
      </c>
    </row>
    <row r="105" spans="1:6" x14ac:dyDescent="0.3">
      <c r="A105" t="s">
        <v>125</v>
      </c>
      <c r="B105">
        <f t="shared" si="4"/>
        <v>200</v>
      </c>
      <c r="C105">
        <f t="shared" si="5"/>
        <v>7.7000000000000397E-4</v>
      </c>
      <c r="D105">
        <v>2.9790999999999999</v>
      </c>
      <c r="E105" s="1">
        <f t="shared" si="6"/>
        <v>0.53541666666666665</v>
      </c>
      <c r="F105" s="3">
        <v>46175</v>
      </c>
    </row>
    <row r="106" spans="1:6" x14ac:dyDescent="0.3">
      <c r="A106" t="s">
        <v>126</v>
      </c>
      <c r="B106">
        <f t="shared" si="4"/>
        <v>200</v>
      </c>
      <c r="C106">
        <f t="shared" si="5"/>
        <v>6.9500000000000117E-4</v>
      </c>
      <c r="D106">
        <v>2.1284000000000001</v>
      </c>
      <c r="E106" s="1">
        <f t="shared" si="6"/>
        <v>0.53611111111111109</v>
      </c>
      <c r="F106" s="3">
        <v>46175</v>
      </c>
    </row>
    <row r="107" spans="1:6" x14ac:dyDescent="0.3">
      <c r="A107" t="s">
        <v>98</v>
      </c>
      <c r="B107">
        <f t="shared" si="4"/>
        <v>200</v>
      </c>
      <c r="C107">
        <f t="shared" si="5"/>
        <v>9.4999999999999534E-4</v>
      </c>
      <c r="D107">
        <v>1.0598000000000001</v>
      </c>
      <c r="E107" s="1">
        <f t="shared" si="6"/>
        <v>0.53680555555555554</v>
      </c>
      <c r="F107" s="3">
        <v>46175</v>
      </c>
    </row>
    <row r="108" spans="1:6" x14ac:dyDescent="0.3">
      <c r="A108" t="s">
        <v>127</v>
      </c>
      <c r="B108">
        <f t="shared" si="4"/>
        <v>200</v>
      </c>
      <c r="C108">
        <f t="shared" si="5"/>
        <v>8.1499999999998793E-4</v>
      </c>
      <c r="D108">
        <v>2.0598000000000001</v>
      </c>
      <c r="E108" s="1">
        <f t="shared" si="6"/>
        <v>0.53749999999999998</v>
      </c>
      <c r="F108" s="3">
        <v>46175</v>
      </c>
    </row>
    <row r="109" spans="1:6" x14ac:dyDescent="0.3">
      <c r="A109" t="s">
        <v>128</v>
      </c>
      <c r="B109">
        <f t="shared" si="4"/>
        <v>200</v>
      </c>
      <c r="C109">
        <f t="shared" si="5"/>
        <v>8.4000000000000741E-4</v>
      </c>
      <c r="D109">
        <v>1.2912999999999999</v>
      </c>
      <c r="E109" s="1">
        <f t="shared" si="6"/>
        <v>0.53819444444444442</v>
      </c>
      <c r="F109" s="3">
        <v>46175</v>
      </c>
    </row>
    <row r="110" spans="1:6" x14ac:dyDescent="0.3">
      <c r="A110" s="6" t="s">
        <v>121</v>
      </c>
      <c r="B110">
        <f t="shared" si="4"/>
        <v>220</v>
      </c>
      <c r="C110">
        <f t="shared" si="5"/>
        <v>1.2050000000000006E-3</v>
      </c>
      <c r="D110">
        <v>1.6153999999999999</v>
      </c>
      <c r="E110" s="1">
        <f t="shared" si="6"/>
        <v>0.54513888888888884</v>
      </c>
      <c r="F110" s="3">
        <v>46175</v>
      </c>
    </row>
    <row r="111" spans="1:6" x14ac:dyDescent="0.3">
      <c r="A111" t="s">
        <v>122</v>
      </c>
      <c r="B111">
        <f t="shared" si="4"/>
        <v>220</v>
      </c>
      <c r="C111">
        <f t="shared" si="5"/>
        <v>1.4700000000000158E-3</v>
      </c>
      <c r="D111">
        <v>3.2770999999999999</v>
      </c>
      <c r="E111" s="1">
        <f t="shared" si="6"/>
        <v>0.54652777777777772</v>
      </c>
      <c r="F111" s="3">
        <v>46175</v>
      </c>
    </row>
    <row r="112" spans="1:6" x14ac:dyDescent="0.3">
      <c r="A112" t="s">
        <v>123</v>
      </c>
      <c r="B112">
        <f t="shared" si="4"/>
        <v>220</v>
      </c>
      <c r="C112">
        <f t="shared" si="5"/>
        <v>1.0099999999999998E-3</v>
      </c>
      <c r="D112">
        <v>2.8831000000000002</v>
      </c>
      <c r="E112" s="1">
        <f t="shared" si="6"/>
        <v>0.54722222222222217</v>
      </c>
      <c r="F112" s="3">
        <v>46175</v>
      </c>
    </row>
    <row r="113" spans="1:6" x14ac:dyDescent="0.3">
      <c r="A113" t="s">
        <v>124</v>
      </c>
      <c r="B113">
        <f t="shared" si="4"/>
        <v>220</v>
      </c>
      <c r="C113">
        <f t="shared" si="5"/>
        <v>1.0000000000000009E-3</v>
      </c>
      <c r="D113">
        <v>3.3700999999999999</v>
      </c>
      <c r="E113" s="1">
        <f t="shared" si="6"/>
        <v>0.54861111111111105</v>
      </c>
      <c r="F113" s="3">
        <v>46175</v>
      </c>
    </row>
    <row r="114" spans="1:6" x14ac:dyDescent="0.3">
      <c r="A114" t="s">
        <v>125</v>
      </c>
      <c r="B114">
        <f t="shared" si="4"/>
        <v>220</v>
      </c>
      <c r="C114">
        <f t="shared" si="5"/>
        <v>7.5499999999999461E-4</v>
      </c>
      <c r="D114">
        <v>2.964</v>
      </c>
      <c r="E114" s="1">
        <f t="shared" si="6"/>
        <v>0.54930555555555549</v>
      </c>
      <c r="F114" s="3">
        <v>46175</v>
      </c>
    </row>
    <row r="115" spans="1:6" x14ac:dyDescent="0.3">
      <c r="A115" t="s">
        <v>126</v>
      </c>
      <c r="B115">
        <f t="shared" si="4"/>
        <v>220</v>
      </c>
      <c r="C115">
        <f t="shared" si="5"/>
        <v>7.1000000000001064E-4</v>
      </c>
      <c r="D115">
        <v>2.1141999999999999</v>
      </c>
      <c r="E115" s="1">
        <f t="shared" si="6"/>
        <v>0.54999999999999993</v>
      </c>
      <c r="F115" s="3">
        <v>46175</v>
      </c>
    </row>
    <row r="116" spans="1:6" x14ac:dyDescent="0.3">
      <c r="A116" t="s">
        <v>98</v>
      </c>
      <c r="B116">
        <f t="shared" si="4"/>
        <v>220</v>
      </c>
      <c r="C116">
        <f t="shared" si="5"/>
        <v>9.9500000000000153E-4</v>
      </c>
      <c r="D116">
        <v>1.0399</v>
      </c>
      <c r="E116" s="1">
        <f t="shared" si="6"/>
        <v>0.55069444444444438</v>
      </c>
      <c r="F116" s="3">
        <v>46175</v>
      </c>
    </row>
    <row r="117" spans="1:6" x14ac:dyDescent="0.3">
      <c r="A117" t="s">
        <v>127</v>
      </c>
      <c r="B117">
        <f t="shared" si="4"/>
        <v>220</v>
      </c>
      <c r="C117">
        <f t="shared" si="5"/>
        <v>8.0000000000000069E-4</v>
      </c>
      <c r="D117">
        <v>2.0438000000000001</v>
      </c>
      <c r="E117" s="1">
        <f t="shared" si="6"/>
        <v>0.55138888888888882</v>
      </c>
      <c r="F117" s="3">
        <v>46175</v>
      </c>
    </row>
    <row r="118" spans="1:6" x14ac:dyDescent="0.3">
      <c r="A118" t="s">
        <v>128</v>
      </c>
      <c r="B118">
        <f t="shared" si="4"/>
        <v>220</v>
      </c>
      <c r="C118">
        <f t="shared" si="5"/>
        <v>8.4499999999999571E-4</v>
      </c>
      <c r="D118">
        <v>1.2744</v>
      </c>
      <c r="E118" s="1">
        <f t="shared" si="6"/>
        <v>0.55208333333333326</v>
      </c>
      <c r="F118" s="3">
        <v>46175</v>
      </c>
    </row>
    <row r="119" spans="1:6" x14ac:dyDescent="0.3">
      <c r="A119" s="6" t="s">
        <v>121</v>
      </c>
      <c r="B119">
        <f t="shared" si="4"/>
        <v>240</v>
      </c>
      <c r="C119">
        <f t="shared" si="5"/>
        <v>1.2249999999999982E-3</v>
      </c>
      <c r="D119">
        <v>1.5909</v>
      </c>
      <c r="E119" s="1">
        <f t="shared" si="6"/>
        <v>0.55902777777777768</v>
      </c>
      <c r="F119" s="3">
        <v>46175</v>
      </c>
    </row>
    <row r="120" spans="1:6" x14ac:dyDescent="0.3">
      <c r="A120" t="s">
        <v>122</v>
      </c>
      <c r="B120">
        <f t="shared" si="4"/>
        <v>240</v>
      </c>
      <c r="C120">
        <f t="shared" si="5"/>
        <v>1.4750000000000041E-3</v>
      </c>
      <c r="D120">
        <v>3.2475999999999998</v>
      </c>
      <c r="E120" s="1">
        <f t="shared" si="6"/>
        <v>0.56041666666666656</v>
      </c>
      <c r="F120" s="3">
        <v>46175</v>
      </c>
    </row>
    <row r="121" spans="1:6" x14ac:dyDescent="0.3">
      <c r="A121" t="s">
        <v>123</v>
      </c>
      <c r="B121">
        <f t="shared" si="4"/>
        <v>240</v>
      </c>
      <c r="C121">
        <f t="shared" si="5"/>
        <v>9.4000000000000745E-4</v>
      </c>
      <c r="D121">
        <v>2.8643000000000001</v>
      </c>
      <c r="E121" s="1">
        <f t="shared" si="6"/>
        <v>0.56111111111111101</v>
      </c>
      <c r="F121" s="3">
        <v>46175</v>
      </c>
    </row>
    <row r="122" spans="1:6" x14ac:dyDescent="0.3">
      <c r="A122" t="s">
        <v>124</v>
      </c>
      <c r="B122">
        <f t="shared" si="4"/>
        <v>240</v>
      </c>
      <c r="C122">
        <f t="shared" si="5"/>
        <v>1.0399999999999964E-3</v>
      </c>
      <c r="D122">
        <v>3.3492999999999999</v>
      </c>
      <c r="E122" s="1">
        <f t="shared" si="6"/>
        <v>0.56249999999999989</v>
      </c>
      <c r="F122" s="3">
        <v>46175</v>
      </c>
    </row>
    <row r="123" spans="1:6" x14ac:dyDescent="0.3">
      <c r="A123" t="s">
        <v>125</v>
      </c>
      <c r="B123">
        <f t="shared" si="4"/>
        <v>240</v>
      </c>
      <c r="C123">
        <f t="shared" si="5"/>
        <v>6.750000000000034E-4</v>
      </c>
      <c r="D123">
        <v>2.9504999999999999</v>
      </c>
      <c r="E123" s="1">
        <f t="shared" si="6"/>
        <v>0.56319444444444433</v>
      </c>
      <c r="F123" s="3">
        <v>46175</v>
      </c>
    </row>
    <row r="124" spans="1:6" x14ac:dyDescent="0.3">
      <c r="A124" t="s">
        <v>126</v>
      </c>
      <c r="B124">
        <f t="shared" si="4"/>
        <v>240</v>
      </c>
      <c r="C124">
        <f t="shared" si="5"/>
        <v>6.2999999999999721E-4</v>
      </c>
      <c r="D124">
        <v>2.1015999999999999</v>
      </c>
      <c r="E124" s="1">
        <f t="shared" si="6"/>
        <v>0.56388888888888877</v>
      </c>
      <c r="F124" s="3">
        <v>46175</v>
      </c>
    </row>
    <row r="125" spans="1:6" x14ac:dyDescent="0.3">
      <c r="A125" t="s">
        <v>98</v>
      </c>
      <c r="B125">
        <f t="shared" si="4"/>
        <v>240</v>
      </c>
      <c r="C125">
        <f t="shared" si="5"/>
        <v>9.0000000000000084E-4</v>
      </c>
      <c r="D125">
        <v>1.0219</v>
      </c>
      <c r="E125" s="1">
        <f t="shared" si="6"/>
        <v>0.56458333333333321</v>
      </c>
      <c r="F125" s="3">
        <v>46175</v>
      </c>
    </row>
    <row r="126" spans="1:6" x14ac:dyDescent="0.3">
      <c r="A126" t="s">
        <v>127</v>
      </c>
      <c r="B126">
        <f t="shared" si="4"/>
        <v>240</v>
      </c>
      <c r="C126">
        <f t="shared" si="5"/>
        <v>7.2000000000000948E-4</v>
      </c>
      <c r="D126">
        <v>2.0293999999999999</v>
      </c>
      <c r="E126" s="1">
        <f t="shared" si="6"/>
        <v>0.56527777777777766</v>
      </c>
      <c r="F126" s="3">
        <v>46175</v>
      </c>
    </row>
    <row r="127" spans="1:6" x14ac:dyDescent="0.3">
      <c r="A127" t="s">
        <v>128</v>
      </c>
      <c r="B127">
        <f t="shared" si="4"/>
        <v>240</v>
      </c>
      <c r="C127">
        <f t="shared" si="5"/>
        <v>8.149999999999991E-4</v>
      </c>
      <c r="D127">
        <v>1.2581</v>
      </c>
      <c r="E127" s="1">
        <f t="shared" si="6"/>
        <v>0.5659722222222221</v>
      </c>
      <c r="F127" s="3">
        <v>46175</v>
      </c>
    </row>
    <row r="128" spans="1:6" x14ac:dyDescent="0.3">
      <c r="A128" s="6" t="s">
        <v>121</v>
      </c>
      <c r="B128">
        <f t="shared" si="4"/>
        <v>260</v>
      </c>
      <c r="C128">
        <f t="shared" si="5"/>
        <v>1.1750000000000037E-3</v>
      </c>
      <c r="D128">
        <v>1.5673999999999999</v>
      </c>
      <c r="E128" s="1">
        <f t="shared" si="6"/>
        <v>0.57291666666666652</v>
      </c>
      <c r="F128" s="3">
        <v>46175</v>
      </c>
    </row>
    <row r="129" spans="1:6" x14ac:dyDescent="0.3">
      <c r="A129" t="s">
        <v>122</v>
      </c>
      <c r="B129">
        <f t="shared" si="4"/>
        <v>260</v>
      </c>
      <c r="C129">
        <f t="shared" si="5"/>
        <v>1.4299999999999979E-3</v>
      </c>
      <c r="D129">
        <v>3.2189999999999999</v>
      </c>
      <c r="E129" s="1">
        <f t="shared" si="6"/>
        <v>0.5743055555555554</v>
      </c>
      <c r="F129" s="3">
        <v>46175</v>
      </c>
    </row>
    <row r="130" spans="1:6" x14ac:dyDescent="0.3">
      <c r="A130" t="s">
        <v>123</v>
      </c>
      <c r="B130">
        <f t="shared" si="4"/>
        <v>260</v>
      </c>
      <c r="C130">
        <f t="shared" si="5"/>
        <v>9.8500000000001364E-4</v>
      </c>
      <c r="D130">
        <v>2.8445999999999998</v>
      </c>
      <c r="E130" s="1">
        <f t="shared" si="6"/>
        <v>0.57499999999999984</v>
      </c>
      <c r="F130" s="3">
        <v>46175</v>
      </c>
    </row>
    <row r="131" spans="1:6" x14ac:dyDescent="0.3">
      <c r="A131" t="s">
        <v>124</v>
      </c>
      <c r="B131">
        <f t="shared" si="4"/>
        <v>260</v>
      </c>
      <c r="C131">
        <f t="shared" si="5"/>
        <v>9.7000000000000417E-4</v>
      </c>
      <c r="D131">
        <v>3.3298999999999999</v>
      </c>
      <c r="E131" s="1">
        <f t="shared" si="6"/>
        <v>0.57638888888888873</v>
      </c>
      <c r="F131" s="3">
        <v>46175</v>
      </c>
    </row>
    <row r="132" spans="1:6" x14ac:dyDescent="0.3">
      <c r="A132" t="s">
        <v>125</v>
      </c>
      <c r="B132">
        <f t="shared" si="4"/>
        <v>260</v>
      </c>
      <c r="C132">
        <f t="shared" si="5"/>
        <v>6.3999999999999615E-4</v>
      </c>
      <c r="D132">
        <v>2.9377</v>
      </c>
      <c r="E132" s="1">
        <f t="shared" si="6"/>
        <v>0.57708333333333317</v>
      </c>
      <c r="F132" s="3">
        <v>46175</v>
      </c>
    </row>
    <row r="133" spans="1:6" x14ac:dyDescent="0.3">
      <c r="A133" t="s">
        <v>126</v>
      </c>
      <c r="B133">
        <f t="shared" si="4"/>
        <v>260</v>
      </c>
      <c r="C133">
        <f t="shared" si="5"/>
        <v>6.2999999999999721E-4</v>
      </c>
      <c r="D133">
        <v>2.089</v>
      </c>
      <c r="E133" s="1">
        <f t="shared" si="6"/>
        <v>0.57777777777777761</v>
      </c>
      <c r="F133" s="3">
        <v>46175</v>
      </c>
    </row>
    <row r="134" spans="1:6" x14ac:dyDescent="0.3">
      <c r="A134" t="s">
        <v>98</v>
      </c>
      <c r="B134">
        <f t="shared" si="4"/>
        <v>260</v>
      </c>
      <c r="C134">
        <f t="shared" si="5"/>
        <v>9.0000000000000084E-4</v>
      </c>
      <c r="D134">
        <v>1.0039</v>
      </c>
      <c r="E134" s="1">
        <f t="shared" si="6"/>
        <v>0.57847222222222205</v>
      </c>
      <c r="F134" s="3">
        <v>46175</v>
      </c>
    </row>
    <row r="135" spans="1:6" x14ac:dyDescent="0.3">
      <c r="A135" t="s">
        <v>127</v>
      </c>
      <c r="B135">
        <f t="shared" si="4"/>
        <v>260</v>
      </c>
      <c r="C135">
        <f t="shared" si="5"/>
        <v>6.4999999999999498E-4</v>
      </c>
      <c r="D135">
        <v>2.0164</v>
      </c>
      <c r="E135" s="1">
        <f t="shared" si="6"/>
        <v>0.5791666666666665</v>
      </c>
      <c r="F135" s="3">
        <v>46175</v>
      </c>
    </row>
    <row r="136" spans="1:6" x14ac:dyDescent="0.3">
      <c r="A136" t="s">
        <v>128</v>
      </c>
      <c r="B136">
        <f t="shared" si="4"/>
        <v>260</v>
      </c>
      <c r="C136">
        <f t="shared" si="5"/>
        <v>8.0999999999999963E-4</v>
      </c>
      <c r="D136">
        <v>1.2419</v>
      </c>
      <c r="E136" s="1">
        <f t="shared" si="6"/>
        <v>0.57986111111111094</v>
      </c>
      <c r="F136" s="3">
        <v>46175</v>
      </c>
    </row>
    <row r="137" spans="1:6" x14ac:dyDescent="0.3">
      <c r="E137" s="1"/>
      <c r="F137" s="3"/>
    </row>
    <row r="138" spans="1:6" x14ac:dyDescent="0.3">
      <c r="E138" s="1"/>
      <c r="F138" s="3"/>
    </row>
    <row r="139" spans="1:6" x14ac:dyDescent="0.3">
      <c r="E139" s="1"/>
      <c r="F139" s="3"/>
    </row>
    <row r="140" spans="1:6" x14ac:dyDescent="0.3">
      <c r="E140" s="1"/>
      <c r="F140" s="3"/>
    </row>
    <row r="141" spans="1:6" x14ac:dyDescent="0.3">
      <c r="E141" s="1"/>
      <c r="F141" s="3"/>
    </row>
    <row r="142" spans="1:6" x14ac:dyDescent="0.3">
      <c r="E142" s="1"/>
      <c r="F142" s="3"/>
    </row>
    <row r="143" spans="1:6" x14ac:dyDescent="0.3">
      <c r="E143" s="1"/>
      <c r="F143" s="3"/>
    </row>
    <row r="144" spans="1:6" x14ac:dyDescent="0.3">
      <c r="E144" s="1"/>
      <c r="F144" s="3"/>
    </row>
    <row r="145" spans="5:6" x14ac:dyDescent="0.3">
      <c r="E145" s="1"/>
      <c r="F145" s="3"/>
    </row>
    <row r="146" spans="5:6" x14ac:dyDescent="0.3">
      <c r="E146" s="1"/>
      <c r="F146" s="3"/>
    </row>
  </sheetData>
  <pageMargins left="0.7" right="0.7" top="0.75" bottom="0.75" header="0.3" footer="0.3"/>
  <pageSetup paperSize="9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2764E-FB0F-4A27-B155-310C9060FF7A}">
  <dimension ref="A1:G71"/>
  <sheetViews>
    <sheetView topLeftCell="A13" workbookViewId="0">
      <selection activeCell="H12" sqref="H12"/>
    </sheetView>
  </sheetViews>
  <sheetFormatPr baseColWidth="10" defaultRowHeight="14.4" x14ac:dyDescent="0.3"/>
  <cols>
    <col min="4" max="4" width="14" customWidth="1"/>
    <col min="6" max="6" width="14" customWidth="1"/>
  </cols>
  <sheetData>
    <row r="1" spans="1:7" x14ac:dyDescent="0.3">
      <c r="A1" s="6" t="s">
        <v>0</v>
      </c>
      <c r="B1" s="6" t="s">
        <v>37</v>
      </c>
      <c r="C1" s="6" t="s">
        <v>194</v>
      </c>
      <c r="D1" s="6" t="s">
        <v>35</v>
      </c>
      <c r="E1" s="6" t="s">
        <v>46</v>
      </c>
      <c r="F1" s="6" t="s">
        <v>38</v>
      </c>
      <c r="G1" s="6"/>
    </row>
    <row r="2" spans="1:7" x14ac:dyDescent="0.3">
      <c r="A2" t="s">
        <v>1</v>
      </c>
      <c r="B2">
        <v>1.2369000000000001</v>
      </c>
      <c r="D2">
        <v>3.2614999999999998</v>
      </c>
      <c r="E2" t="s">
        <v>36</v>
      </c>
      <c r="F2" t="s">
        <v>39</v>
      </c>
    </row>
    <row r="3" spans="1:7" x14ac:dyDescent="0.3">
      <c r="A3" t="s">
        <v>4</v>
      </c>
      <c r="B3">
        <v>1.2658</v>
      </c>
      <c r="D3">
        <v>2.7160000000000002</v>
      </c>
      <c r="E3" t="s">
        <v>36</v>
      </c>
      <c r="F3" t="s">
        <v>40</v>
      </c>
    </row>
    <row r="4" spans="1:7" x14ac:dyDescent="0.3">
      <c r="A4" t="s">
        <v>6</v>
      </c>
      <c r="B4">
        <v>1.3984000000000001</v>
      </c>
      <c r="D4">
        <v>3.0196000000000001</v>
      </c>
      <c r="E4" t="s">
        <v>36</v>
      </c>
      <c r="F4" t="s">
        <v>41</v>
      </c>
    </row>
    <row r="5" spans="1:7" x14ac:dyDescent="0.3">
      <c r="A5" t="s">
        <v>7</v>
      </c>
      <c r="B5">
        <v>1.2102999999999999</v>
      </c>
      <c r="D5">
        <v>2.2422</v>
      </c>
      <c r="E5" t="s">
        <v>36</v>
      </c>
      <c r="F5" t="s">
        <v>43</v>
      </c>
    </row>
    <row r="6" spans="1:7" x14ac:dyDescent="0.3">
      <c r="A6" t="s">
        <v>5</v>
      </c>
      <c r="B6">
        <v>1.4692000000000001</v>
      </c>
      <c r="D6">
        <v>2.9436</v>
      </c>
      <c r="E6" t="s">
        <v>36</v>
      </c>
      <c r="F6" t="s">
        <v>44</v>
      </c>
    </row>
    <row r="7" spans="1:7" x14ac:dyDescent="0.3">
      <c r="A7" t="s">
        <v>13</v>
      </c>
      <c r="B7">
        <v>1.9770000000000001</v>
      </c>
      <c r="D7">
        <v>4.7855999999999996</v>
      </c>
      <c r="E7" t="s">
        <v>36</v>
      </c>
      <c r="F7" t="s">
        <v>39</v>
      </c>
    </row>
    <row r="8" spans="1:7" x14ac:dyDescent="0.3">
      <c r="A8" t="s">
        <v>14</v>
      </c>
      <c r="B8">
        <v>1.5947</v>
      </c>
      <c r="D8">
        <v>3.2509000000000001</v>
      </c>
      <c r="E8" t="s">
        <v>36</v>
      </c>
      <c r="F8" t="s">
        <v>45</v>
      </c>
    </row>
    <row r="9" spans="1:7" x14ac:dyDescent="0.3">
      <c r="A9" t="s">
        <v>15</v>
      </c>
      <c r="B9">
        <v>1.2701</v>
      </c>
      <c r="D9">
        <v>2.6770999999999998</v>
      </c>
      <c r="E9" t="s">
        <v>36</v>
      </c>
      <c r="F9" t="s">
        <v>40</v>
      </c>
    </row>
    <row r="10" spans="1:7" x14ac:dyDescent="0.3">
      <c r="A10" t="s">
        <v>16</v>
      </c>
      <c r="B10">
        <v>1.175</v>
      </c>
      <c r="D10">
        <v>2.4493999999999998</v>
      </c>
      <c r="E10" t="s">
        <v>36</v>
      </c>
      <c r="F10" t="s">
        <v>44</v>
      </c>
    </row>
    <row r="11" spans="1:7" x14ac:dyDescent="0.3">
      <c r="A11" t="s">
        <v>17</v>
      </c>
      <c r="B11">
        <v>1.8380000000000001</v>
      </c>
      <c r="D11">
        <v>3.6856</v>
      </c>
      <c r="E11" t="s">
        <v>36</v>
      </c>
      <c r="F11" t="s">
        <v>41</v>
      </c>
    </row>
    <row r="12" spans="1:7" x14ac:dyDescent="0.3">
      <c r="A12" t="s">
        <v>12</v>
      </c>
      <c r="B12">
        <v>1.0281</v>
      </c>
      <c r="D12">
        <v>2.8062</v>
      </c>
      <c r="E12" t="s">
        <v>36</v>
      </c>
      <c r="F12" t="s">
        <v>42</v>
      </c>
    </row>
    <row r="13" spans="1:7" x14ac:dyDescent="0.3">
      <c r="A13" t="s">
        <v>18</v>
      </c>
      <c r="B13">
        <v>1.6167</v>
      </c>
      <c r="D13">
        <v>3.0478999999999998</v>
      </c>
      <c r="E13" t="s">
        <v>36</v>
      </c>
      <c r="F13" t="s">
        <v>43</v>
      </c>
    </row>
    <row r="14" spans="1:7" x14ac:dyDescent="0.3">
      <c r="A14" t="s">
        <v>33</v>
      </c>
      <c r="B14">
        <v>1.2428999999999999</v>
      </c>
      <c r="D14">
        <v>2.4735999999999998</v>
      </c>
      <c r="E14" t="s">
        <v>36</v>
      </c>
      <c r="F14" t="s">
        <v>41</v>
      </c>
    </row>
    <row r="15" spans="1:7" x14ac:dyDescent="0.3">
      <c r="A15" t="s">
        <v>27</v>
      </c>
      <c r="B15">
        <v>1.5828</v>
      </c>
      <c r="D15">
        <v>3.2004999999999999</v>
      </c>
      <c r="E15" t="s">
        <v>36</v>
      </c>
      <c r="F15" t="s">
        <v>44</v>
      </c>
    </row>
    <row r="16" spans="1:7" x14ac:dyDescent="0.3">
      <c r="A16" t="s">
        <v>25</v>
      </c>
      <c r="B16">
        <v>1.2755000000000001</v>
      </c>
      <c r="D16">
        <v>2.8588</v>
      </c>
      <c r="E16" t="s">
        <v>36</v>
      </c>
      <c r="F16" t="s">
        <v>40</v>
      </c>
    </row>
    <row r="17" spans="1:6" x14ac:dyDescent="0.3">
      <c r="A17" t="s">
        <v>29</v>
      </c>
      <c r="B17">
        <v>0.81920000000000004</v>
      </c>
      <c r="D17">
        <v>2.1699000000000002</v>
      </c>
      <c r="E17" t="s">
        <v>36</v>
      </c>
      <c r="F17" t="s">
        <v>42</v>
      </c>
    </row>
    <row r="18" spans="1:6" x14ac:dyDescent="0.3">
      <c r="A18" t="s">
        <v>34</v>
      </c>
      <c r="B18">
        <v>1.6349</v>
      </c>
      <c r="D18">
        <v>3.5049000000000001</v>
      </c>
      <c r="E18" t="s">
        <v>36</v>
      </c>
      <c r="F18" t="s">
        <v>45</v>
      </c>
    </row>
    <row r="19" spans="1:6" x14ac:dyDescent="0.3">
      <c r="A19" t="s">
        <v>28</v>
      </c>
      <c r="B19">
        <v>1.0637000000000001</v>
      </c>
      <c r="D19">
        <v>2.6486000000000001</v>
      </c>
      <c r="E19" t="s">
        <v>36</v>
      </c>
      <c r="F19" t="s">
        <v>39</v>
      </c>
    </row>
    <row r="20" spans="1:6" x14ac:dyDescent="0.3">
      <c r="A20" t="s">
        <v>26</v>
      </c>
      <c r="B20">
        <v>1.2470000000000001</v>
      </c>
      <c r="D20">
        <v>2.5392999999999999</v>
      </c>
      <c r="E20" t="s">
        <v>36</v>
      </c>
      <c r="F20" t="s">
        <v>43</v>
      </c>
    </row>
    <row r="21" spans="1:6" x14ac:dyDescent="0.3">
      <c r="A21" t="s">
        <v>54</v>
      </c>
      <c r="B21">
        <v>0.8095</v>
      </c>
      <c r="D21">
        <v>1.9417</v>
      </c>
      <c r="E21" t="s">
        <v>77</v>
      </c>
      <c r="F21" t="s">
        <v>42</v>
      </c>
    </row>
    <row r="22" spans="1:6" x14ac:dyDescent="0.3">
      <c r="A22" t="s">
        <v>55</v>
      </c>
      <c r="B22">
        <v>1.4441999999999999</v>
      </c>
      <c r="D22">
        <v>3.1341000000000001</v>
      </c>
      <c r="E22" t="s">
        <v>77</v>
      </c>
      <c r="F22" t="s">
        <v>45</v>
      </c>
    </row>
    <row r="23" spans="1:6" x14ac:dyDescent="0.3">
      <c r="A23" t="s">
        <v>53</v>
      </c>
      <c r="B23">
        <v>1.4200999999999999</v>
      </c>
      <c r="D23">
        <v>2.8109999999999999</v>
      </c>
      <c r="E23" t="s">
        <v>77</v>
      </c>
      <c r="F23" t="s">
        <v>44</v>
      </c>
    </row>
    <row r="24" spans="1:6" x14ac:dyDescent="0.3">
      <c r="A24" t="s">
        <v>50</v>
      </c>
      <c r="B24">
        <v>0.56389999999999996</v>
      </c>
      <c r="D24">
        <v>1.1678999999999999</v>
      </c>
      <c r="E24" t="s">
        <v>77</v>
      </c>
      <c r="F24" t="s">
        <v>40</v>
      </c>
    </row>
    <row r="25" spans="1:6" x14ac:dyDescent="0.3">
      <c r="A25" t="s">
        <v>49</v>
      </c>
      <c r="B25">
        <v>0.57020000000000004</v>
      </c>
      <c r="D25">
        <v>1.4294</v>
      </c>
      <c r="E25" t="s">
        <v>77</v>
      </c>
      <c r="F25" t="s">
        <v>39</v>
      </c>
    </row>
    <row r="26" spans="1:6" x14ac:dyDescent="0.3">
      <c r="A26" t="s">
        <v>52</v>
      </c>
      <c r="B26">
        <v>0.49299999999999999</v>
      </c>
      <c r="D26">
        <v>1.0081</v>
      </c>
      <c r="E26" t="s">
        <v>77</v>
      </c>
      <c r="F26" t="s">
        <v>43</v>
      </c>
    </row>
    <row r="27" spans="1:6" x14ac:dyDescent="0.3">
      <c r="A27" t="s">
        <v>51</v>
      </c>
      <c r="B27">
        <v>1.6091</v>
      </c>
      <c r="D27">
        <v>3.2578999999999998</v>
      </c>
      <c r="E27" t="s">
        <v>77</v>
      </c>
      <c r="F27" t="s">
        <v>41</v>
      </c>
    </row>
    <row r="28" spans="1:6" x14ac:dyDescent="0.3">
      <c r="A28" t="s">
        <v>64</v>
      </c>
      <c r="B28">
        <v>1.9153</v>
      </c>
      <c r="D28">
        <v>3.7389999999999999</v>
      </c>
      <c r="E28" t="s">
        <v>77</v>
      </c>
      <c r="F28" t="s">
        <v>44</v>
      </c>
    </row>
    <row r="29" spans="1:6" x14ac:dyDescent="0.3">
      <c r="A29" t="s">
        <v>63</v>
      </c>
      <c r="B29">
        <v>0.42449999999999999</v>
      </c>
      <c r="D29">
        <v>0.88829999999999998</v>
      </c>
      <c r="E29" t="s">
        <v>77</v>
      </c>
      <c r="F29" t="s">
        <v>43</v>
      </c>
    </row>
    <row r="30" spans="1:6" x14ac:dyDescent="0.3">
      <c r="A30" t="s">
        <v>62</v>
      </c>
      <c r="B30">
        <v>0.85189999999999999</v>
      </c>
      <c r="D30">
        <v>1.9597</v>
      </c>
      <c r="E30" t="s">
        <v>77</v>
      </c>
      <c r="F30" t="s">
        <v>40</v>
      </c>
    </row>
    <row r="31" spans="1:6" x14ac:dyDescent="0.3">
      <c r="A31" t="s">
        <v>61</v>
      </c>
      <c r="B31">
        <v>0.84840000000000004</v>
      </c>
      <c r="D31">
        <v>2.1202999999999999</v>
      </c>
      <c r="E31" t="s">
        <v>77</v>
      </c>
      <c r="F31" t="s">
        <v>39</v>
      </c>
    </row>
    <row r="32" spans="1:6" x14ac:dyDescent="0.3">
      <c r="A32" t="s">
        <v>60</v>
      </c>
      <c r="B32">
        <v>0.81140000000000001</v>
      </c>
      <c r="D32">
        <v>1.6322000000000001</v>
      </c>
      <c r="E32" t="s">
        <v>77</v>
      </c>
      <c r="F32" t="s">
        <v>42</v>
      </c>
    </row>
    <row r="33" spans="1:6" x14ac:dyDescent="0.3">
      <c r="A33" t="s">
        <v>59</v>
      </c>
      <c r="B33">
        <v>1.4074</v>
      </c>
      <c r="D33">
        <v>2.9382000000000001</v>
      </c>
      <c r="E33" t="s">
        <v>77</v>
      </c>
      <c r="F33" t="s">
        <v>41</v>
      </c>
    </row>
    <row r="34" spans="1:6" x14ac:dyDescent="0.3">
      <c r="A34" t="s">
        <v>65</v>
      </c>
      <c r="B34">
        <v>0.81089999999999995</v>
      </c>
      <c r="D34">
        <v>1.7231000000000001</v>
      </c>
      <c r="E34" t="s">
        <v>77</v>
      </c>
      <c r="F34" t="s">
        <v>45</v>
      </c>
    </row>
    <row r="35" spans="1:6" x14ac:dyDescent="0.3">
      <c r="A35" t="s">
        <v>71</v>
      </c>
      <c r="B35">
        <v>0.89300000000000002</v>
      </c>
      <c r="D35">
        <v>2.3696999999999999</v>
      </c>
      <c r="E35" t="s">
        <v>77</v>
      </c>
      <c r="F35" t="s">
        <v>45</v>
      </c>
    </row>
    <row r="36" spans="1:6" x14ac:dyDescent="0.3">
      <c r="A36" t="s">
        <v>74</v>
      </c>
      <c r="B36">
        <v>1.0992999999999999</v>
      </c>
      <c r="D36">
        <v>2.2046000000000001</v>
      </c>
      <c r="E36" t="s">
        <v>77</v>
      </c>
      <c r="F36" t="s">
        <v>44</v>
      </c>
    </row>
    <row r="37" spans="1:6" x14ac:dyDescent="0.3">
      <c r="A37" t="s">
        <v>69</v>
      </c>
      <c r="B37">
        <v>1.1339999999999999</v>
      </c>
      <c r="D37">
        <v>2.4137</v>
      </c>
      <c r="E37" t="s">
        <v>77</v>
      </c>
      <c r="F37" t="s">
        <v>39</v>
      </c>
    </row>
    <row r="38" spans="1:6" x14ac:dyDescent="0.3">
      <c r="A38" t="s">
        <v>73</v>
      </c>
      <c r="B38">
        <v>0.69850000000000001</v>
      </c>
      <c r="D38">
        <v>1.5932999999999999</v>
      </c>
      <c r="E38" t="s">
        <v>77</v>
      </c>
      <c r="F38" t="s">
        <v>40</v>
      </c>
    </row>
    <row r="39" spans="1:6" x14ac:dyDescent="0.3">
      <c r="A39" t="s">
        <v>76</v>
      </c>
      <c r="B39">
        <v>0.58730000000000004</v>
      </c>
      <c r="D39">
        <v>1.4856</v>
      </c>
      <c r="E39" t="s">
        <v>77</v>
      </c>
      <c r="F39" t="s">
        <v>42</v>
      </c>
    </row>
    <row r="40" spans="1:6" x14ac:dyDescent="0.3">
      <c r="A40" t="s">
        <v>75</v>
      </c>
      <c r="B40">
        <v>0.64300000000000002</v>
      </c>
      <c r="D40">
        <v>1.6995</v>
      </c>
      <c r="E40" t="s">
        <v>77</v>
      </c>
      <c r="F40" t="s">
        <v>43</v>
      </c>
    </row>
    <row r="41" spans="1:6" x14ac:dyDescent="0.3">
      <c r="A41" t="s">
        <v>68</v>
      </c>
      <c r="B41">
        <v>1.2903</v>
      </c>
      <c r="D41">
        <v>3.2938999999999998</v>
      </c>
      <c r="E41" t="s">
        <v>77</v>
      </c>
      <c r="F41" t="s">
        <v>45</v>
      </c>
    </row>
    <row r="42" spans="1:6" x14ac:dyDescent="0.3">
      <c r="A42" t="s">
        <v>72</v>
      </c>
      <c r="B42">
        <v>1.105</v>
      </c>
      <c r="D42">
        <v>2.5568</v>
      </c>
      <c r="E42" t="s">
        <v>77</v>
      </c>
      <c r="F42" t="s">
        <v>41</v>
      </c>
    </row>
    <row r="43" spans="1:6" x14ac:dyDescent="0.3">
      <c r="A43" t="s">
        <v>192</v>
      </c>
      <c r="B43">
        <v>1.3097000000000001</v>
      </c>
      <c r="D43">
        <v>2.8531</v>
      </c>
      <c r="E43" t="s">
        <v>36</v>
      </c>
      <c r="F43" t="s">
        <v>42</v>
      </c>
    </row>
    <row r="44" spans="1:6" x14ac:dyDescent="0.3">
      <c r="A44" t="s">
        <v>67</v>
      </c>
      <c r="B44">
        <v>1.0681</v>
      </c>
      <c r="D44">
        <v>2.3275999999999999</v>
      </c>
      <c r="E44" t="s">
        <v>36</v>
      </c>
      <c r="F44" t="s">
        <v>40</v>
      </c>
    </row>
    <row r="45" spans="1:6" x14ac:dyDescent="0.3">
      <c r="A45" t="s">
        <v>92</v>
      </c>
      <c r="B45">
        <v>0.75439999999999996</v>
      </c>
      <c r="D45">
        <v>2.0406</v>
      </c>
      <c r="E45" t="s">
        <v>77</v>
      </c>
      <c r="F45" t="s">
        <v>41</v>
      </c>
    </row>
    <row r="46" spans="1:6" x14ac:dyDescent="0.3">
      <c r="A46" t="s">
        <v>94</v>
      </c>
      <c r="B46">
        <v>0.90590000000000004</v>
      </c>
      <c r="D46">
        <v>1.8521000000000001</v>
      </c>
      <c r="E46" t="s">
        <v>77</v>
      </c>
      <c r="F46" t="s">
        <v>44</v>
      </c>
    </row>
    <row r="47" spans="1:6" x14ac:dyDescent="0.3">
      <c r="A47" t="s">
        <v>89</v>
      </c>
      <c r="B47">
        <v>0.40210000000000001</v>
      </c>
      <c r="D47">
        <v>0.95689999999999997</v>
      </c>
      <c r="E47" t="s">
        <v>77</v>
      </c>
      <c r="F47" t="s">
        <v>42</v>
      </c>
    </row>
    <row r="48" spans="1:6" x14ac:dyDescent="0.3">
      <c r="A48" t="s">
        <v>90</v>
      </c>
      <c r="B48">
        <v>1.5389999999999999</v>
      </c>
      <c r="D48">
        <v>2.9828999999999999</v>
      </c>
      <c r="E48" t="s">
        <v>193</v>
      </c>
      <c r="F48" t="s">
        <v>43</v>
      </c>
    </row>
    <row r="49" spans="1:6" x14ac:dyDescent="0.3">
      <c r="A49" t="s">
        <v>91</v>
      </c>
      <c r="B49">
        <v>0.67349999999999999</v>
      </c>
      <c r="D49">
        <v>1.6004</v>
      </c>
      <c r="E49" t="s">
        <v>36</v>
      </c>
      <c r="F49" t="s">
        <v>41</v>
      </c>
    </row>
    <row r="50" spans="1:6" x14ac:dyDescent="0.3">
      <c r="A50" t="s">
        <v>88</v>
      </c>
      <c r="B50">
        <v>0.66080000000000005</v>
      </c>
      <c r="D50">
        <v>1.4235</v>
      </c>
      <c r="E50" t="s">
        <v>77</v>
      </c>
      <c r="F50" t="s">
        <v>45</v>
      </c>
    </row>
    <row r="51" spans="1:6" x14ac:dyDescent="0.3">
      <c r="A51" t="s">
        <v>87</v>
      </c>
      <c r="B51">
        <v>0.7177</v>
      </c>
      <c r="D51">
        <v>1.6215999999999999</v>
      </c>
      <c r="E51" t="s">
        <v>36</v>
      </c>
      <c r="F51" t="s">
        <v>42</v>
      </c>
    </row>
    <row r="52" spans="1:6" x14ac:dyDescent="0.3">
      <c r="A52" t="s">
        <v>95</v>
      </c>
      <c r="B52">
        <v>1.5462</v>
      </c>
      <c r="D52">
        <v>2.9914999999999998</v>
      </c>
      <c r="E52" t="s">
        <v>36</v>
      </c>
      <c r="F52" t="s">
        <v>44</v>
      </c>
    </row>
    <row r="53" spans="1:6" x14ac:dyDescent="0.3">
      <c r="A53" t="s">
        <v>93</v>
      </c>
      <c r="B53">
        <v>1.2099</v>
      </c>
      <c r="D53">
        <v>2.8469000000000002</v>
      </c>
      <c r="E53" t="s">
        <v>36</v>
      </c>
      <c r="F53" t="s">
        <v>45</v>
      </c>
    </row>
    <row r="54" spans="1:6" x14ac:dyDescent="0.3">
      <c r="A54" t="s">
        <v>85</v>
      </c>
      <c r="B54">
        <v>0.91810000000000003</v>
      </c>
      <c r="D54">
        <v>2.3679000000000001</v>
      </c>
      <c r="E54" t="s">
        <v>36</v>
      </c>
      <c r="F54" t="s">
        <v>40</v>
      </c>
    </row>
    <row r="55" spans="1:6" x14ac:dyDescent="0.3">
      <c r="A55" t="s">
        <v>86</v>
      </c>
      <c r="B55">
        <v>1.6236999999999999</v>
      </c>
      <c r="D55">
        <v>3.3917000000000002</v>
      </c>
      <c r="E55" t="s">
        <v>36</v>
      </c>
      <c r="F55" t="s">
        <v>41</v>
      </c>
    </row>
    <row r="56" spans="1:6" x14ac:dyDescent="0.3">
      <c r="A56" t="s">
        <v>84</v>
      </c>
      <c r="B56">
        <v>1.2408999999999999</v>
      </c>
      <c r="D56">
        <v>2.6537000000000002</v>
      </c>
      <c r="E56" t="s">
        <v>77</v>
      </c>
      <c r="F56" t="s">
        <v>45</v>
      </c>
    </row>
    <row r="57" spans="1:6" x14ac:dyDescent="0.3">
      <c r="A57" t="s">
        <v>83</v>
      </c>
      <c r="B57">
        <v>0.81730000000000003</v>
      </c>
      <c r="D57">
        <v>1.8653</v>
      </c>
      <c r="E57" t="s">
        <v>77</v>
      </c>
      <c r="F57" t="s">
        <v>40</v>
      </c>
    </row>
    <row r="58" spans="1:6" x14ac:dyDescent="0.3">
      <c r="A58" t="s">
        <v>82</v>
      </c>
      <c r="B58">
        <v>0.58389999999999997</v>
      </c>
      <c r="D58">
        <v>1.3291999999999999</v>
      </c>
      <c r="E58" t="s">
        <v>36</v>
      </c>
      <c r="F58" t="s">
        <v>43</v>
      </c>
    </row>
    <row r="59" spans="1:6" x14ac:dyDescent="0.3">
      <c r="A59" t="s">
        <v>81</v>
      </c>
      <c r="B59">
        <v>0.92290000000000005</v>
      </c>
      <c r="D59">
        <v>1.9722</v>
      </c>
      <c r="E59" t="s">
        <v>36</v>
      </c>
      <c r="F59" t="s">
        <v>45</v>
      </c>
    </row>
    <row r="60" spans="1:6" x14ac:dyDescent="0.3">
      <c r="A60" t="s">
        <v>80</v>
      </c>
      <c r="B60">
        <v>1.0257000000000001</v>
      </c>
      <c r="D60">
        <v>2.4628999999999999</v>
      </c>
      <c r="E60" t="s">
        <v>36</v>
      </c>
      <c r="F60" t="s">
        <v>39</v>
      </c>
    </row>
    <row r="61" spans="1:6" x14ac:dyDescent="0.3">
      <c r="A61" t="s">
        <v>79</v>
      </c>
      <c r="B61">
        <v>0.52070000000000005</v>
      </c>
      <c r="D61">
        <v>1.1903999999999999</v>
      </c>
      <c r="E61" t="s">
        <v>77</v>
      </c>
      <c r="F61" t="s">
        <v>43</v>
      </c>
    </row>
    <row r="62" spans="1:6" x14ac:dyDescent="0.3">
      <c r="A62" t="s">
        <v>78</v>
      </c>
      <c r="B62">
        <v>0.60250000000000004</v>
      </c>
      <c r="D62">
        <v>1.4952000000000001</v>
      </c>
      <c r="E62" t="s">
        <v>77</v>
      </c>
      <c r="F62" t="s">
        <v>41</v>
      </c>
    </row>
    <row r="63" spans="1:6" x14ac:dyDescent="0.3">
      <c r="A63" t="s">
        <v>121</v>
      </c>
      <c r="D63">
        <v>1.9244000000000001</v>
      </c>
      <c r="E63" t="s">
        <v>77</v>
      </c>
      <c r="F63" t="s">
        <v>39</v>
      </c>
    </row>
    <row r="64" spans="1:6" x14ac:dyDescent="0.3">
      <c r="A64" t="s">
        <v>122</v>
      </c>
      <c r="D64">
        <v>3.6764000000000001</v>
      </c>
      <c r="E64" t="s">
        <v>36</v>
      </c>
      <c r="F64" t="s">
        <v>39</v>
      </c>
    </row>
    <row r="65" spans="1:6" x14ac:dyDescent="0.3">
      <c r="A65" t="s">
        <v>123</v>
      </c>
      <c r="D65">
        <v>3.1789999999999998</v>
      </c>
      <c r="E65" t="s">
        <v>77</v>
      </c>
      <c r="F65" t="s">
        <v>39</v>
      </c>
    </row>
    <row r="66" spans="1:6" x14ac:dyDescent="0.3">
      <c r="A66" t="s">
        <v>124</v>
      </c>
      <c r="D66">
        <v>3.6114999999999999</v>
      </c>
      <c r="E66" t="s">
        <v>36</v>
      </c>
      <c r="F66" t="s">
        <v>42</v>
      </c>
    </row>
    <row r="67" spans="1:6" x14ac:dyDescent="0.3">
      <c r="A67" t="s">
        <v>125</v>
      </c>
      <c r="D67">
        <v>3.1312000000000002</v>
      </c>
      <c r="E67" t="s">
        <v>77</v>
      </c>
      <c r="F67" t="s">
        <v>42</v>
      </c>
    </row>
    <row r="68" spans="1:6" x14ac:dyDescent="0.3">
      <c r="A68" t="s">
        <v>126</v>
      </c>
      <c r="D68">
        <v>2.3218000000000001</v>
      </c>
      <c r="E68" t="s">
        <v>77</v>
      </c>
      <c r="F68" t="s">
        <v>44</v>
      </c>
    </row>
    <row r="69" spans="1:6" x14ac:dyDescent="0.3">
      <c r="A69" t="s">
        <v>98</v>
      </c>
      <c r="D69">
        <v>1.2523</v>
      </c>
      <c r="E69" t="s">
        <v>77</v>
      </c>
      <c r="F69" t="s">
        <v>40</v>
      </c>
    </row>
    <row r="70" spans="1:6" x14ac:dyDescent="0.3">
      <c r="A70" t="s">
        <v>127</v>
      </c>
      <c r="D70">
        <v>2.2498</v>
      </c>
      <c r="E70" t="s">
        <v>36</v>
      </c>
      <c r="F70" t="s">
        <v>44</v>
      </c>
    </row>
    <row r="71" spans="1:6" x14ac:dyDescent="0.3">
      <c r="A71" t="s">
        <v>128</v>
      </c>
      <c r="D71">
        <v>1.4661</v>
      </c>
      <c r="E71" t="s">
        <v>77</v>
      </c>
      <c r="F71" t="s">
        <v>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FB44C-6946-42D9-9291-B21306B78327}">
  <dimension ref="A1:E144"/>
  <sheetViews>
    <sheetView workbookViewId="0">
      <selection activeCell="D104" sqref="D104"/>
    </sheetView>
  </sheetViews>
  <sheetFormatPr baseColWidth="10" defaultRowHeight="14.4" x14ac:dyDescent="0.3"/>
  <sheetData>
    <row r="1" spans="1:3" x14ac:dyDescent="0.3">
      <c r="A1" t="s">
        <v>0</v>
      </c>
      <c r="B1" t="s">
        <v>188</v>
      </c>
      <c r="C1" t="s">
        <v>187</v>
      </c>
    </row>
    <row r="2" spans="1:3" x14ac:dyDescent="0.3">
      <c r="A2" t="s">
        <v>96</v>
      </c>
      <c r="B2">
        <v>9.1199999999999992</v>
      </c>
      <c r="C2">
        <v>8.3000000000000007</v>
      </c>
    </row>
    <row r="3" spans="1:3" x14ac:dyDescent="0.3">
      <c r="A3" t="s">
        <v>97</v>
      </c>
      <c r="B3">
        <v>9.92</v>
      </c>
      <c r="C3">
        <v>9.51</v>
      </c>
    </row>
    <row r="4" spans="1:3" x14ac:dyDescent="0.3">
      <c r="A4" t="s">
        <v>97</v>
      </c>
      <c r="B4">
        <v>4.93</v>
      </c>
      <c r="C4">
        <v>4.9400000000000004</v>
      </c>
    </row>
    <row r="5" spans="1:3" x14ac:dyDescent="0.3">
      <c r="A5" t="s">
        <v>13</v>
      </c>
      <c r="B5">
        <v>15.2</v>
      </c>
      <c r="C5">
        <v>14.68</v>
      </c>
    </row>
    <row r="6" spans="1:3" x14ac:dyDescent="0.3">
      <c r="A6" t="s">
        <v>98</v>
      </c>
      <c r="B6">
        <v>9.2899999999999991</v>
      </c>
      <c r="C6">
        <v>9.67</v>
      </c>
    </row>
    <row r="7" spans="1:3" x14ac:dyDescent="0.3">
      <c r="A7" t="s">
        <v>98</v>
      </c>
      <c r="B7">
        <v>641</v>
      </c>
      <c r="C7">
        <v>6.17</v>
      </c>
    </row>
    <row r="8" spans="1:3" x14ac:dyDescent="0.3">
      <c r="A8" t="s">
        <v>99</v>
      </c>
      <c r="B8">
        <v>10.29</v>
      </c>
      <c r="C8">
        <v>10.119999999999999</v>
      </c>
    </row>
    <row r="9" spans="1:3" x14ac:dyDescent="0.3">
      <c r="A9" t="s">
        <v>99</v>
      </c>
      <c r="B9">
        <v>8.5299999999999994</v>
      </c>
      <c r="C9">
        <v>8.85</v>
      </c>
    </row>
    <row r="10" spans="1:3" x14ac:dyDescent="0.3">
      <c r="A10" t="s">
        <v>73</v>
      </c>
      <c r="B10">
        <v>6.12</v>
      </c>
      <c r="C10">
        <v>6.85</v>
      </c>
    </row>
    <row r="11" spans="1:3" x14ac:dyDescent="0.3">
      <c r="A11" t="s">
        <v>73</v>
      </c>
      <c r="B11">
        <v>4.54</v>
      </c>
      <c r="C11">
        <v>4.83</v>
      </c>
    </row>
    <row r="12" spans="1:3" x14ac:dyDescent="0.3">
      <c r="A12" t="s">
        <v>100</v>
      </c>
      <c r="B12">
        <v>12.61</v>
      </c>
      <c r="C12">
        <v>12.31</v>
      </c>
    </row>
    <row r="13" spans="1:3" x14ac:dyDescent="0.3">
      <c r="A13">
        <v>344</v>
      </c>
      <c r="B13">
        <v>7.95</v>
      </c>
      <c r="C13">
        <v>8.65</v>
      </c>
    </row>
    <row r="14" spans="1:3" x14ac:dyDescent="0.3">
      <c r="A14" t="s">
        <v>101</v>
      </c>
      <c r="B14">
        <v>14.51</v>
      </c>
      <c r="C14">
        <v>14.06</v>
      </c>
    </row>
    <row r="15" spans="1:3" x14ac:dyDescent="0.3">
      <c r="A15" t="s">
        <v>102</v>
      </c>
      <c r="B15">
        <v>11.74</v>
      </c>
      <c r="C15">
        <v>11.13</v>
      </c>
    </row>
    <row r="16" spans="1:3" x14ac:dyDescent="0.3">
      <c r="A16">
        <v>259</v>
      </c>
      <c r="B16">
        <v>9.69</v>
      </c>
      <c r="C16">
        <v>10.35</v>
      </c>
    </row>
    <row r="17" spans="1:3" x14ac:dyDescent="0.3">
      <c r="A17" t="s">
        <v>103</v>
      </c>
      <c r="B17">
        <v>10.42</v>
      </c>
      <c r="C17">
        <v>10.74</v>
      </c>
    </row>
    <row r="18" spans="1:3" x14ac:dyDescent="0.3">
      <c r="A18" t="s">
        <v>104</v>
      </c>
      <c r="B18">
        <v>12.92</v>
      </c>
      <c r="C18">
        <v>12.85</v>
      </c>
    </row>
    <row r="19" spans="1:3" x14ac:dyDescent="0.3">
      <c r="A19" t="s">
        <v>105</v>
      </c>
      <c r="B19">
        <v>10.15</v>
      </c>
      <c r="C19">
        <v>9.67</v>
      </c>
    </row>
    <row r="20" spans="1:3" x14ac:dyDescent="0.3">
      <c r="A20" t="s">
        <v>106</v>
      </c>
      <c r="B20">
        <v>10.35</v>
      </c>
      <c r="C20">
        <v>10.88</v>
      </c>
    </row>
    <row r="21" spans="1:3" x14ac:dyDescent="0.3">
      <c r="A21" t="s">
        <v>107</v>
      </c>
      <c r="B21">
        <v>17.93</v>
      </c>
      <c r="C21">
        <v>15.27</v>
      </c>
    </row>
    <row r="22" spans="1:3" x14ac:dyDescent="0.3">
      <c r="A22" t="s">
        <v>108</v>
      </c>
      <c r="B22">
        <v>9.4600000000000009</v>
      </c>
      <c r="C22">
        <v>9.86</v>
      </c>
    </row>
    <row r="23" spans="1:3" x14ac:dyDescent="0.3">
      <c r="A23" t="s">
        <v>109</v>
      </c>
      <c r="B23">
        <v>10.65</v>
      </c>
      <c r="C23">
        <v>10.75</v>
      </c>
    </row>
    <row r="24" spans="1:3" x14ac:dyDescent="0.3">
      <c r="A24" t="s">
        <v>110</v>
      </c>
      <c r="B24">
        <v>14.3</v>
      </c>
      <c r="C24">
        <v>13.25</v>
      </c>
    </row>
    <row r="25" spans="1:3" x14ac:dyDescent="0.3">
      <c r="A25" t="s">
        <v>111</v>
      </c>
      <c r="B25">
        <v>12.31</v>
      </c>
      <c r="C25">
        <v>13.24</v>
      </c>
    </row>
    <row r="26" spans="1:3" x14ac:dyDescent="0.3">
      <c r="A26" t="s">
        <v>112</v>
      </c>
      <c r="B26">
        <v>11.39</v>
      </c>
      <c r="C26">
        <v>11.67</v>
      </c>
    </row>
    <row r="27" spans="1:3" x14ac:dyDescent="0.3">
      <c r="A27" t="s">
        <v>112</v>
      </c>
      <c r="B27">
        <v>7.66</v>
      </c>
      <c r="C27">
        <v>5.62</v>
      </c>
    </row>
    <row r="28" spans="1:3" x14ac:dyDescent="0.3">
      <c r="A28" t="s">
        <v>17</v>
      </c>
      <c r="B28">
        <v>12.83</v>
      </c>
      <c r="C28">
        <v>12.93</v>
      </c>
    </row>
    <row r="29" spans="1:3" x14ac:dyDescent="0.3">
      <c r="A29" t="s">
        <v>113</v>
      </c>
      <c r="B29">
        <v>16.52</v>
      </c>
      <c r="C29">
        <v>15.96</v>
      </c>
    </row>
    <row r="30" spans="1:3" x14ac:dyDescent="0.3">
      <c r="A30" t="s">
        <v>114</v>
      </c>
      <c r="B30">
        <v>10.28</v>
      </c>
      <c r="C30">
        <v>13</v>
      </c>
    </row>
    <row r="31" spans="1:3" x14ac:dyDescent="0.3">
      <c r="A31" t="s">
        <v>114</v>
      </c>
      <c r="B31">
        <v>7.72</v>
      </c>
      <c r="C31">
        <v>7.97</v>
      </c>
    </row>
    <row r="32" spans="1:3" x14ac:dyDescent="0.3">
      <c r="A32" t="s">
        <v>115</v>
      </c>
      <c r="B32">
        <v>12.48</v>
      </c>
      <c r="C32">
        <v>11.79</v>
      </c>
    </row>
    <row r="33" spans="1:3" x14ac:dyDescent="0.3">
      <c r="A33" t="s">
        <v>116</v>
      </c>
      <c r="B33">
        <v>12.95</v>
      </c>
      <c r="C33">
        <v>13.06</v>
      </c>
    </row>
    <row r="34" spans="1:3" x14ac:dyDescent="0.3">
      <c r="A34" t="s">
        <v>117</v>
      </c>
      <c r="B34">
        <v>9.9600000000000009</v>
      </c>
      <c r="C34">
        <v>10.119999999999999</v>
      </c>
    </row>
    <row r="35" spans="1:3" x14ac:dyDescent="0.3">
      <c r="A35" t="s">
        <v>118</v>
      </c>
      <c r="B35">
        <v>10.48</v>
      </c>
      <c r="C35">
        <v>10.68</v>
      </c>
    </row>
    <row r="36" spans="1:3" x14ac:dyDescent="0.3">
      <c r="A36" t="s">
        <v>94</v>
      </c>
      <c r="B36">
        <v>7.18</v>
      </c>
      <c r="C36">
        <v>7.12</v>
      </c>
    </row>
    <row r="37" spans="1:3" x14ac:dyDescent="0.3">
      <c r="A37" t="s">
        <v>94</v>
      </c>
      <c r="B37">
        <v>7.08</v>
      </c>
      <c r="C37">
        <v>6.84</v>
      </c>
    </row>
    <row r="38" spans="1:3" x14ac:dyDescent="0.3">
      <c r="A38" t="s">
        <v>94</v>
      </c>
      <c r="B38">
        <v>4.1500000000000004</v>
      </c>
      <c r="C38">
        <v>3.56</v>
      </c>
    </row>
    <row r="39" spans="1:3" x14ac:dyDescent="0.3">
      <c r="A39" t="s">
        <v>130</v>
      </c>
      <c r="B39">
        <v>8.1</v>
      </c>
      <c r="C39">
        <v>6.58</v>
      </c>
    </row>
    <row r="40" spans="1:3" x14ac:dyDescent="0.3">
      <c r="A40" t="s">
        <v>130</v>
      </c>
      <c r="B40">
        <v>5.84</v>
      </c>
      <c r="C40">
        <v>8.7899999999999991</v>
      </c>
    </row>
    <row r="41" spans="1:3" x14ac:dyDescent="0.3">
      <c r="A41" t="s">
        <v>131</v>
      </c>
      <c r="B41">
        <v>6.86</v>
      </c>
      <c r="C41">
        <v>6.85</v>
      </c>
    </row>
    <row r="42" spans="1:3" x14ac:dyDescent="0.3">
      <c r="A42" t="s">
        <v>131</v>
      </c>
      <c r="B42">
        <v>7.77</v>
      </c>
      <c r="C42">
        <v>8.14</v>
      </c>
    </row>
    <row r="43" spans="1:3" x14ac:dyDescent="0.3">
      <c r="A43" t="s">
        <v>131</v>
      </c>
      <c r="B43">
        <v>2.97</v>
      </c>
      <c r="C43">
        <v>3.26</v>
      </c>
    </row>
    <row r="44" spans="1:3" x14ac:dyDescent="0.3">
      <c r="A44" t="s">
        <v>132</v>
      </c>
      <c r="B44">
        <v>9.86</v>
      </c>
      <c r="C44">
        <v>9.6999999999999993</v>
      </c>
    </row>
    <row r="45" spans="1:3" x14ac:dyDescent="0.3">
      <c r="A45" t="s">
        <v>133</v>
      </c>
      <c r="B45">
        <v>10.49</v>
      </c>
      <c r="C45">
        <v>10.58</v>
      </c>
    </row>
    <row r="46" spans="1:3" x14ac:dyDescent="0.3">
      <c r="A46" t="s">
        <v>134</v>
      </c>
      <c r="B46">
        <v>13.03</v>
      </c>
      <c r="C46">
        <v>12.54</v>
      </c>
    </row>
    <row r="47" spans="1:3" x14ac:dyDescent="0.3">
      <c r="A47" t="s">
        <v>79</v>
      </c>
      <c r="B47">
        <v>8.3800000000000008</v>
      </c>
      <c r="C47">
        <v>7.29</v>
      </c>
    </row>
    <row r="48" spans="1:3" x14ac:dyDescent="0.3">
      <c r="A48" t="s">
        <v>79</v>
      </c>
      <c r="B48">
        <v>6.15</v>
      </c>
      <c r="C48">
        <v>6.37</v>
      </c>
    </row>
    <row r="49" spans="1:5" x14ac:dyDescent="0.3">
      <c r="A49" t="s">
        <v>135</v>
      </c>
      <c r="B49">
        <v>14.07</v>
      </c>
      <c r="C49">
        <v>13.76</v>
      </c>
    </row>
    <row r="50" spans="1:5" x14ac:dyDescent="0.3">
      <c r="A50" s="10" t="s">
        <v>136</v>
      </c>
      <c r="B50">
        <v>11.2</v>
      </c>
      <c r="C50">
        <v>7.71</v>
      </c>
    </row>
    <row r="51" spans="1:5" x14ac:dyDescent="0.3">
      <c r="A51" t="s">
        <v>137</v>
      </c>
      <c r="B51">
        <v>7.25</v>
      </c>
      <c r="C51">
        <v>8.64</v>
      </c>
    </row>
    <row r="52" spans="1:5" x14ac:dyDescent="0.3">
      <c r="A52" t="s">
        <v>137</v>
      </c>
      <c r="B52">
        <v>9.43</v>
      </c>
      <c r="C52">
        <v>7.24</v>
      </c>
    </row>
    <row r="53" spans="1:5" x14ac:dyDescent="0.3">
      <c r="A53" t="s">
        <v>25</v>
      </c>
      <c r="B53">
        <v>9.16</v>
      </c>
      <c r="C53">
        <v>9.23</v>
      </c>
      <c r="E53" t="s">
        <v>138</v>
      </c>
    </row>
    <row r="54" spans="1:5" x14ac:dyDescent="0.3">
      <c r="A54" t="s">
        <v>25</v>
      </c>
      <c r="B54">
        <v>6.48</v>
      </c>
      <c r="C54">
        <v>7.45</v>
      </c>
    </row>
    <row r="55" spans="1:5" x14ac:dyDescent="0.3">
      <c r="A55" t="s">
        <v>25</v>
      </c>
      <c r="B55">
        <v>7.34</v>
      </c>
      <c r="C55">
        <v>662</v>
      </c>
    </row>
    <row r="56" spans="1:5" x14ac:dyDescent="0.3">
      <c r="A56" t="s">
        <v>139</v>
      </c>
      <c r="B56">
        <v>5.39</v>
      </c>
      <c r="C56">
        <v>5.69</v>
      </c>
    </row>
    <row r="57" spans="1:5" x14ac:dyDescent="0.3">
      <c r="A57" t="s">
        <v>140</v>
      </c>
      <c r="B57">
        <v>15.09</v>
      </c>
      <c r="C57">
        <v>14.49</v>
      </c>
    </row>
    <row r="58" spans="1:5" x14ac:dyDescent="0.3">
      <c r="A58">
        <v>70</v>
      </c>
      <c r="B58">
        <v>9.8699999999999992</v>
      </c>
      <c r="C58">
        <v>5.05</v>
      </c>
    </row>
    <row r="59" spans="1:5" x14ac:dyDescent="0.3">
      <c r="A59">
        <v>70</v>
      </c>
      <c r="B59">
        <v>8.7100000000000009</v>
      </c>
      <c r="C59">
        <v>6.05</v>
      </c>
    </row>
    <row r="60" spans="1:5" x14ac:dyDescent="0.3">
      <c r="A60" t="s">
        <v>141</v>
      </c>
      <c r="B60">
        <v>11.05</v>
      </c>
      <c r="C60">
        <v>11.55</v>
      </c>
    </row>
    <row r="61" spans="1:5" x14ac:dyDescent="0.3">
      <c r="A61" t="s">
        <v>76</v>
      </c>
      <c r="B61">
        <v>12.13</v>
      </c>
      <c r="C61">
        <v>10.85</v>
      </c>
    </row>
    <row r="62" spans="1:5" x14ac:dyDescent="0.3">
      <c r="A62" t="s">
        <v>142</v>
      </c>
      <c r="B62">
        <v>15.71</v>
      </c>
      <c r="C62">
        <v>15.75</v>
      </c>
    </row>
    <row r="63" spans="1:5" x14ac:dyDescent="0.3">
      <c r="A63" t="s">
        <v>16</v>
      </c>
      <c r="B63">
        <v>7.72</v>
      </c>
      <c r="C63">
        <v>6.94</v>
      </c>
    </row>
    <row r="64" spans="1:5" x14ac:dyDescent="0.3">
      <c r="A64" t="s">
        <v>16</v>
      </c>
      <c r="B64">
        <v>3.9</v>
      </c>
      <c r="C64">
        <v>3.94</v>
      </c>
    </row>
    <row r="65" spans="1:4" x14ac:dyDescent="0.3">
      <c r="A65" t="s">
        <v>143</v>
      </c>
      <c r="B65">
        <v>13.18</v>
      </c>
      <c r="C65">
        <v>12.28</v>
      </c>
    </row>
    <row r="66" spans="1:4" x14ac:dyDescent="0.3">
      <c r="A66" t="s">
        <v>144</v>
      </c>
      <c r="B66">
        <v>14.92</v>
      </c>
      <c r="C66">
        <v>14.93</v>
      </c>
    </row>
    <row r="67" spans="1:4" x14ac:dyDescent="0.3">
      <c r="A67" t="s">
        <v>145</v>
      </c>
      <c r="B67">
        <v>12.03</v>
      </c>
      <c r="C67">
        <v>9.81</v>
      </c>
    </row>
    <row r="68" spans="1:4" x14ac:dyDescent="0.3">
      <c r="A68" t="s">
        <v>145</v>
      </c>
      <c r="B68">
        <v>4.26</v>
      </c>
      <c r="C68">
        <v>4.93</v>
      </c>
    </row>
    <row r="69" spans="1:4" x14ac:dyDescent="0.3">
      <c r="A69" t="s">
        <v>146</v>
      </c>
      <c r="B69">
        <v>8.89</v>
      </c>
      <c r="C69">
        <v>8.81</v>
      </c>
    </row>
    <row r="70" spans="1:4" x14ac:dyDescent="0.3">
      <c r="A70" t="s">
        <v>29</v>
      </c>
      <c r="B70">
        <v>14.82</v>
      </c>
      <c r="C70">
        <v>13.86</v>
      </c>
    </row>
    <row r="71" spans="1:4" x14ac:dyDescent="0.3">
      <c r="A71" t="s">
        <v>147</v>
      </c>
      <c r="B71">
        <v>11.41</v>
      </c>
      <c r="C71">
        <v>12.96</v>
      </c>
    </row>
    <row r="72" spans="1:4" x14ac:dyDescent="0.3">
      <c r="A72" t="s">
        <v>147</v>
      </c>
      <c r="B72">
        <v>9.6</v>
      </c>
      <c r="C72">
        <v>11.2</v>
      </c>
    </row>
    <row r="73" spans="1:4" x14ac:dyDescent="0.3">
      <c r="A73" t="s">
        <v>87</v>
      </c>
      <c r="B73">
        <v>17.420000000000002</v>
      </c>
      <c r="C73">
        <v>16.940000000000001</v>
      </c>
    </row>
    <row r="74" spans="1:4" x14ac:dyDescent="0.3">
      <c r="A74" t="s">
        <v>148</v>
      </c>
      <c r="B74">
        <v>15.53</v>
      </c>
      <c r="C74">
        <v>14.47</v>
      </c>
    </row>
    <row r="75" spans="1:4" x14ac:dyDescent="0.3">
      <c r="A75" s="12" t="s">
        <v>149</v>
      </c>
      <c r="B75" s="12">
        <v>10.32</v>
      </c>
      <c r="C75" s="12">
        <v>10.19</v>
      </c>
      <c r="D75" t="s">
        <v>150</v>
      </c>
    </row>
    <row r="76" spans="1:4" x14ac:dyDescent="0.3">
      <c r="A76" t="s">
        <v>151</v>
      </c>
      <c r="B76">
        <v>12.24</v>
      </c>
      <c r="C76">
        <v>12.15</v>
      </c>
    </row>
    <row r="77" spans="1:4" x14ac:dyDescent="0.3">
      <c r="A77" t="s">
        <v>152</v>
      </c>
      <c r="B77">
        <v>12.48</v>
      </c>
      <c r="C77">
        <v>11.41</v>
      </c>
    </row>
    <row r="78" spans="1:4" x14ac:dyDescent="0.3">
      <c r="A78" t="s">
        <v>153</v>
      </c>
      <c r="B78">
        <v>11.11</v>
      </c>
      <c r="C78">
        <v>10.63</v>
      </c>
    </row>
    <row r="79" spans="1:4" x14ac:dyDescent="0.3">
      <c r="A79">
        <v>147</v>
      </c>
      <c r="B79">
        <v>15.78</v>
      </c>
      <c r="C79">
        <v>16.95</v>
      </c>
    </row>
    <row r="80" spans="1:4" x14ac:dyDescent="0.3">
      <c r="A80" t="s">
        <v>154</v>
      </c>
      <c r="B80">
        <v>9.59</v>
      </c>
      <c r="C80">
        <v>9.4600000000000009</v>
      </c>
    </row>
    <row r="81" spans="1:4" x14ac:dyDescent="0.3">
      <c r="A81" t="s">
        <v>95</v>
      </c>
      <c r="B81">
        <v>9.08</v>
      </c>
      <c r="C81">
        <v>8.7799999999999994</v>
      </c>
    </row>
    <row r="82" spans="1:4" x14ac:dyDescent="0.3">
      <c r="A82" t="s">
        <v>95</v>
      </c>
      <c r="B82">
        <v>8.91</v>
      </c>
      <c r="C82">
        <v>9.41</v>
      </c>
    </row>
    <row r="83" spans="1:4" x14ac:dyDescent="0.3">
      <c r="A83" t="s">
        <v>128</v>
      </c>
      <c r="B83">
        <v>10.7</v>
      </c>
      <c r="C83">
        <v>10.57</v>
      </c>
    </row>
    <row r="84" spans="1:4" x14ac:dyDescent="0.3">
      <c r="A84" t="s">
        <v>155</v>
      </c>
      <c r="B84">
        <v>6.84</v>
      </c>
      <c r="C84">
        <v>6.79</v>
      </c>
    </row>
    <row r="85" spans="1:4" x14ac:dyDescent="0.3">
      <c r="A85" s="12" t="s">
        <v>156</v>
      </c>
      <c r="B85" s="12">
        <v>8.7100000000000009</v>
      </c>
      <c r="C85" s="12">
        <v>8.0399999999999991</v>
      </c>
      <c r="D85" t="s">
        <v>157</v>
      </c>
    </row>
    <row r="86" spans="1:4" x14ac:dyDescent="0.3">
      <c r="A86" s="12"/>
      <c r="B86" s="12">
        <v>4.49</v>
      </c>
      <c r="C86" s="12">
        <v>4.5</v>
      </c>
    </row>
    <row r="87" spans="1:4" x14ac:dyDescent="0.3">
      <c r="A87" t="s">
        <v>158</v>
      </c>
      <c r="B87">
        <v>11.86</v>
      </c>
      <c r="C87">
        <v>12.68</v>
      </c>
    </row>
    <row r="88" spans="1:4" x14ac:dyDescent="0.3">
      <c r="A88" t="s">
        <v>85</v>
      </c>
      <c r="B88">
        <v>12.31</v>
      </c>
      <c r="C88">
        <v>11.03</v>
      </c>
    </row>
    <row r="89" spans="1:4" x14ac:dyDescent="0.3">
      <c r="A89" t="s">
        <v>85</v>
      </c>
      <c r="B89">
        <v>8.01</v>
      </c>
      <c r="C89">
        <v>7.59</v>
      </c>
    </row>
    <row r="90" spans="1:4" x14ac:dyDescent="0.3">
      <c r="A90" t="s">
        <v>85</v>
      </c>
      <c r="B90">
        <v>6.38</v>
      </c>
      <c r="C90">
        <v>6.85</v>
      </c>
    </row>
    <row r="91" spans="1:4" x14ac:dyDescent="0.3">
      <c r="A91" t="s">
        <v>85</v>
      </c>
      <c r="B91">
        <v>3.17</v>
      </c>
      <c r="C91">
        <v>3.34</v>
      </c>
    </row>
    <row r="92" spans="1:4" x14ac:dyDescent="0.3">
      <c r="A92" t="s">
        <v>159</v>
      </c>
      <c r="B92">
        <v>12.86</v>
      </c>
      <c r="C92">
        <v>12.91</v>
      </c>
    </row>
    <row r="93" spans="1:4" x14ac:dyDescent="0.3">
      <c r="A93" t="s">
        <v>159</v>
      </c>
      <c r="B93">
        <v>4.55</v>
      </c>
      <c r="C93">
        <v>5.6</v>
      </c>
    </row>
    <row r="94" spans="1:4" x14ac:dyDescent="0.3">
      <c r="A94" t="s">
        <v>160</v>
      </c>
      <c r="B94">
        <v>12.22</v>
      </c>
      <c r="C94">
        <v>11.82</v>
      </c>
    </row>
    <row r="95" spans="1:4" x14ac:dyDescent="0.3">
      <c r="A95" t="s">
        <v>89</v>
      </c>
      <c r="B95">
        <v>10.69</v>
      </c>
      <c r="C95">
        <v>10.220000000000001</v>
      </c>
    </row>
    <row r="96" spans="1:4" x14ac:dyDescent="0.3">
      <c r="A96" t="s">
        <v>161</v>
      </c>
      <c r="B96">
        <v>9.35</v>
      </c>
      <c r="C96">
        <v>11.24</v>
      </c>
    </row>
    <row r="97" spans="1:4" x14ac:dyDescent="0.3">
      <c r="A97" t="s">
        <v>26</v>
      </c>
      <c r="B97">
        <v>9.1</v>
      </c>
      <c r="C97">
        <v>9.82</v>
      </c>
    </row>
    <row r="98" spans="1:4" x14ac:dyDescent="0.3">
      <c r="A98" t="s">
        <v>26</v>
      </c>
      <c r="B98">
        <v>7.86</v>
      </c>
      <c r="C98">
        <v>7.88</v>
      </c>
    </row>
    <row r="99" spans="1:4" x14ac:dyDescent="0.3">
      <c r="A99" t="s">
        <v>26</v>
      </c>
      <c r="B99">
        <v>7.55</v>
      </c>
      <c r="C99">
        <v>7.69</v>
      </c>
    </row>
    <row r="100" spans="1:4" x14ac:dyDescent="0.3">
      <c r="A100" t="s">
        <v>52</v>
      </c>
      <c r="B100">
        <v>2.34</v>
      </c>
      <c r="C100">
        <v>5.33</v>
      </c>
    </row>
    <row r="101" spans="1:4" x14ac:dyDescent="0.3">
      <c r="A101" t="s">
        <v>33</v>
      </c>
      <c r="B101">
        <v>16.77</v>
      </c>
      <c r="C101">
        <v>17.55</v>
      </c>
    </row>
    <row r="102" spans="1:4" x14ac:dyDescent="0.3">
      <c r="A102" t="s">
        <v>162</v>
      </c>
      <c r="B102">
        <v>10.81</v>
      </c>
      <c r="C102">
        <v>10.050000000000001</v>
      </c>
      <c r="D102" t="s">
        <v>190</v>
      </c>
    </row>
    <row r="103" spans="1:4" x14ac:dyDescent="0.3">
      <c r="A103" t="s">
        <v>163</v>
      </c>
      <c r="B103">
        <v>10.24</v>
      </c>
      <c r="C103">
        <v>9.9600000000000009</v>
      </c>
    </row>
    <row r="104" spans="1:4" x14ac:dyDescent="0.3">
      <c r="A104" t="s">
        <v>164</v>
      </c>
      <c r="B104">
        <v>8.89</v>
      </c>
      <c r="C104">
        <v>8.92</v>
      </c>
    </row>
    <row r="105" spans="1:4" x14ac:dyDescent="0.3">
      <c r="A105" t="s">
        <v>165</v>
      </c>
      <c r="B105">
        <v>10.23</v>
      </c>
      <c r="C105">
        <v>10.59</v>
      </c>
    </row>
    <row r="106" spans="1:4" x14ac:dyDescent="0.3">
      <c r="A106" t="s">
        <v>166</v>
      </c>
      <c r="B106">
        <v>9.1</v>
      </c>
      <c r="C106">
        <v>8.9</v>
      </c>
    </row>
    <row r="107" spans="1:4" x14ac:dyDescent="0.3">
      <c r="A107" t="s">
        <v>166</v>
      </c>
      <c r="B107">
        <v>7.1</v>
      </c>
      <c r="C107">
        <v>6.73</v>
      </c>
    </row>
    <row r="108" spans="1:4" x14ac:dyDescent="0.3">
      <c r="A108" t="s">
        <v>2</v>
      </c>
      <c r="B108">
        <v>13.71</v>
      </c>
      <c r="C108">
        <v>13.74</v>
      </c>
    </row>
    <row r="109" spans="1:4" x14ac:dyDescent="0.3">
      <c r="A109" t="s">
        <v>167</v>
      </c>
      <c r="B109">
        <v>13.97</v>
      </c>
      <c r="C109">
        <v>12.08</v>
      </c>
    </row>
    <row r="110" spans="1:4" x14ac:dyDescent="0.3">
      <c r="A110" t="s">
        <v>167</v>
      </c>
      <c r="B110">
        <v>5.03</v>
      </c>
      <c r="C110">
        <v>4.51</v>
      </c>
    </row>
    <row r="111" spans="1:4" x14ac:dyDescent="0.3">
      <c r="A111" t="s">
        <v>168</v>
      </c>
      <c r="B111">
        <v>12.53</v>
      </c>
      <c r="C111">
        <v>13.29</v>
      </c>
    </row>
    <row r="112" spans="1:4" x14ac:dyDescent="0.3">
      <c r="A112" t="s">
        <v>169</v>
      </c>
      <c r="B112">
        <v>11.8</v>
      </c>
      <c r="C112">
        <v>11.76</v>
      </c>
    </row>
    <row r="113" spans="1:3" x14ac:dyDescent="0.3">
      <c r="A113" t="s">
        <v>170</v>
      </c>
      <c r="B113">
        <v>5.5</v>
      </c>
      <c r="C113">
        <v>5.5</v>
      </c>
    </row>
    <row r="114" spans="1:3" x14ac:dyDescent="0.3">
      <c r="A114" t="s">
        <v>170</v>
      </c>
      <c r="B114">
        <v>5</v>
      </c>
      <c r="C114">
        <v>5</v>
      </c>
    </row>
    <row r="115" spans="1:3" x14ac:dyDescent="0.3">
      <c r="A115" t="s">
        <v>170</v>
      </c>
      <c r="B115">
        <v>4.6500000000000004</v>
      </c>
      <c r="C115">
        <v>4.6500000000000004</v>
      </c>
    </row>
    <row r="116" spans="1:3" x14ac:dyDescent="0.3">
      <c r="A116" t="s">
        <v>170</v>
      </c>
      <c r="B116">
        <v>5.93</v>
      </c>
      <c r="C116">
        <v>5.93</v>
      </c>
    </row>
    <row r="117" spans="1:3" x14ac:dyDescent="0.3">
      <c r="A117" t="s">
        <v>170</v>
      </c>
      <c r="B117">
        <v>4.46</v>
      </c>
      <c r="C117">
        <v>4.46</v>
      </c>
    </row>
    <row r="118" spans="1:3" x14ac:dyDescent="0.3">
      <c r="A118" t="s">
        <v>71</v>
      </c>
      <c r="B118">
        <v>11.33</v>
      </c>
      <c r="C118">
        <v>11.19</v>
      </c>
    </row>
    <row r="119" spans="1:3" x14ac:dyDescent="0.3">
      <c r="A119" t="s">
        <v>171</v>
      </c>
      <c r="B119">
        <v>13.12</v>
      </c>
      <c r="C119">
        <v>13.6</v>
      </c>
    </row>
    <row r="120" spans="1:3" x14ac:dyDescent="0.3">
      <c r="A120" t="s">
        <v>172</v>
      </c>
      <c r="B120">
        <v>13.78</v>
      </c>
      <c r="C120">
        <v>13.54</v>
      </c>
    </row>
    <row r="121" spans="1:3" x14ac:dyDescent="0.3">
      <c r="A121" t="s">
        <v>173</v>
      </c>
      <c r="B121">
        <v>10.75</v>
      </c>
      <c r="C121">
        <v>12.12</v>
      </c>
    </row>
    <row r="122" spans="1:3" x14ac:dyDescent="0.3">
      <c r="A122" t="s">
        <v>174</v>
      </c>
      <c r="B122">
        <v>12.26</v>
      </c>
      <c r="C122">
        <v>12.42</v>
      </c>
    </row>
    <row r="123" spans="1:3" x14ac:dyDescent="0.3">
      <c r="A123" t="s">
        <v>175</v>
      </c>
      <c r="B123">
        <v>8.93</v>
      </c>
      <c r="C123">
        <v>9.48</v>
      </c>
    </row>
    <row r="124" spans="1:3" x14ac:dyDescent="0.3">
      <c r="A124" t="s">
        <v>176</v>
      </c>
      <c r="B124">
        <v>9.1199999999999992</v>
      </c>
      <c r="C124">
        <v>10.4</v>
      </c>
    </row>
    <row r="125" spans="1:3" x14ac:dyDescent="0.3">
      <c r="A125" t="s">
        <v>189</v>
      </c>
      <c r="B125">
        <v>16.63</v>
      </c>
      <c r="C125">
        <v>16.63</v>
      </c>
    </row>
    <row r="126" spans="1:3" x14ac:dyDescent="0.3">
      <c r="A126" t="s">
        <v>189</v>
      </c>
      <c r="B126">
        <v>10.17</v>
      </c>
      <c r="C126">
        <v>10.17</v>
      </c>
    </row>
    <row r="127" spans="1:3" x14ac:dyDescent="0.3">
      <c r="A127" t="s">
        <v>177</v>
      </c>
      <c r="B127">
        <v>10.55</v>
      </c>
      <c r="C127">
        <v>11.26</v>
      </c>
    </row>
    <row r="128" spans="1:3" x14ac:dyDescent="0.3">
      <c r="A128" t="s">
        <v>178</v>
      </c>
      <c r="B128">
        <v>7.48</v>
      </c>
      <c r="C128">
        <v>8.31</v>
      </c>
    </row>
    <row r="129" spans="1:3" x14ac:dyDescent="0.3">
      <c r="A129" t="s">
        <v>179</v>
      </c>
      <c r="B129">
        <v>13.33</v>
      </c>
      <c r="C129">
        <v>13.86</v>
      </c>
    </row>
    <row r="130" spans="1:3" x14ac:dyDescent="0.3">
      <c r="A130" t="s">
        <v>180</v>
      </c>
      <c r="B130">
        <v>14.6</v>
      </c>
      <c r="C130">
        <v>14.87</v>
      </c>
    </row>
    <row r="131" spans="1:3" x14ac:dyDescent="0.3">
      <c r="A131" t="s">
        <v>127</v>
      </c>
      <c r="B131">
        <v>12.37</v>
      </c>
      <c r="C131">
        <v>13.06</v>
      </c>
    </row>
    <row r="132" spans="1:3" x14ac:dyDescent="0.3">
      <c r="A132" t="s">
        <v>127</v>
      </c>
      <c r="B132">
        <v>7.98</v>
      </c>
      <c r="C132">
        <v>8.5500000000000007</v>
      </c>
    </row>
    <row r="133" spans="1:3" x14ac:dyDescent="0.3">
      <c r="A133" t="s">
        <v>181</v>
      </c>
      <c r="B133">
        <v>14.23</v>
      </c>
      <c r="C133">
        <v>12.2</v>
      </c>
    </row>
    <row r="134" spans="1:3" x14ac:dyDescent="0.3">
      <c r="A134" t="s">
        <v>182</v>
      </c>
      <c r="B134">
        <v>10.119999999999999</v>
      </c>
      <c r="C134">
        <v>10.119999999999999</v>
      </c>
    </row>
    <row r="135" spans="1:3" x14ac:dyDescent="0.3">
      <c r="A135" t="s">
        <v>182</v>
      </c>
      <c r="B135">
        <v>5.36</v>
      </c>
      <c r="C135">
        <v>5.36</v>
      </c>
    </row>
    <row r="136" spans="1:3" x14ac:dyDescent="0.3">
      <c r="A136" t="s">
        <v>182</v>
      </c>
      <c r="B136">
        <v>10.09</v>
      </c>
      <c r="C136">
        <v>10.09</v>
      </c>
    </row>
    <row r="137" spans="1:3" x14ac:dyDescent="0.3">
      <c r="A137" t="s">
        <v>183</v>
      </c>
      <c r="B137">
        <v>13.76</v>
      </c>
      <c r="C137">
        <v>13.75</v>
      </c>
    </row>
    <row r="138" spans="1:3" x14ac:dyDescent="0.3">
      <c r="A138" t="s">
        <v>184</v>
      </c>
      <c r="B138">
        <v>11.3</v>
      </c>
      <c r="C138">
        <v>11.46</v>
      </c>
    </row>
    <row r="139" spans="1:3" x14ac:dyDescent="0.3">
      <c r="A139" t="s">
        <v>184</v>
      </c>
      <c r="B139">
        <v>7.24</v>
      </c>
      <c r="C139">
        <v>7.96</v>
      </c>
    </row>
    <row r="140" spans="1:3" x14ac:dyDescent="0.3">
      <c r="A140" t="s">
        <v>185</v>
      </c>
      <c r="B140">
        <v>8.5500000000000007</v>
      </c>
      <c r="C140">
        <v>8.49</v>
      </c>
    </row>
    <row r="141" spans="1:3" x14ac:dyDescent="0.3">
      <c r="A141" t="s">
        <v>186</v>
      </c>
      <c r="B141">
        <v>10.039999999999999</v>
      </c>
      <c r="C141">
        <v>11.52</v>
      </c>
    </row>
    <row r="142" spans="1:3" x14ac:dyDescent="0.3">
      <c r="A142" t="s">
        <v>62</v>
      </c>
      <c r="B142">
        <v>9.7200000000000006</v>
      </c>
      <c r="C142">
        <v>8.9700000000000006</v>
      </c>
    </row>
    <row r="143" spans="1:3" x14ac:dyDescent="0.3">
      <c r="A143" t="s">
        <v>62</v>
      </c>
      <c r="B143">
        <v>5.83</v>
      </c>
      <c r="C143">
        <v>5.77</v>
      </c>
    </row>
    <row r="144" spans="1:3" x14ac:dyDescent="0.3">
      <c r="A144" t="s">
        <v>92</v>
      </c>
      <c r="B144">
        <v>10.55</v>
      </c>
      <c r="C144">
        <v>11.12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Hoja1</vt:lpstr>
      <vt:lpstr>Hoja2</vt:lpstr>
      <vt:lpstr>Hoja3</vt:lpstr>
      <vt:lpstr>Hoja4</vt:lpstr>
      <vt:lpstr>Hoja5</vt:lpstr>
      <vt:lpstr>Hoja6</vt:lpstr>
      <vt:lpstr>Hoja7</vt:lpstr>
      <vt:lpstr>Hoja8</vt:lpstr>
      <vt:lpstr>Hoja9</vt:lpstr>
      <vt:lpstr>Peso-seco</vt:lpstr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LIZETH MELISSA NARANJO BRAVO</dc:creator>
  <cp:lastModifiedBy>LIZETH MELISSA NARANJO BRAVO</cp:lastModifiedBy>
  <cp:lastPrinted>2026-06-05T19:51:08Z</cp:lastPrinted>
  <dcterms:created xsi:type="dcterms:W3CDTF">2026-04-08T14:38:14Z</dcterms:created>
  <dcterms:modified xsi:type="dcterms:W3CDTF">2026-06-09T16:12:52Z</dcterms:modified>
</cp:coreProperties>
</file>